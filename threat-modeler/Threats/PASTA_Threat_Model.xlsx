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 &amp; Legend" sheetId="1" state="visible" r:id="rId3"/>
    <sheet name="📊 Risk Dashboard" sheetId="2" state="visible" r:id="rId4"/>
    <sheet name="🔴 OT Threats" sheetId="3" state="visible" r:id="rId5"/>
    <sheet name="🟢 IT Threats" sheetId="4" state="visible" r:id="rId6"/>
    <sheet name="🔵 Shared Threa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<sst xmlns="http://schemas.openxmlformats.org/spreadsheetml/2006/main" count="891" uniqueCount="534">
  <si>
    <t xml:space="preserve">PASTA Threat Modeling — OT &amp; IT Environments</t>
  </si>
  <si>
    <t xml:space="preserve">Process for Attack Simulation and Threat Analysis | Threat Register | Control Mitigations | Application Status Tracker</t>
  </si>
  <si>
    <t xml:space="preserve">PASTA Stage</t>
  </si>
  <si>
    <t xml:space="preserve">Stage Description</t>
  </si>
  <si>
    <t xml:space="preserve">Key Questions Answered</t>
  </si>
  <si>
    <t xml:space="preserve">Stage I – Business Objectives</t>
  </si>
  <si>
    <t xml:space="preserve">Define business objectives, compliance requirements, and risk appetite that shape the threat model scope</t>
  </si>
  <si>
    <t xml:space="preserve">What are we protecting and why? What regulatory mandates apply?</t>
  </si>
  <si>
    <t xml:space="preserve">Stage II – Technical Scope</t>
  </si>
  <si>
    <t xml:space="preserve">Enumerate the technical environment: assets, data flows, trust boundaries, and infrastructure components</t>
  </si>
  <si>
    <t xml:space="preserve">What is in scope? What are our attack surfaces?</t>
  </si>
  <si>
    <t xml:space="preserve">Stage III – App Decomposition</t>
  </si>
  <si>
    <t xml:space="preserve">Break down applications and systems into components, identify entry/exit points, data stores, and trust zones</t>
  </si>
  <si>
    <t xml:space="preserve">How does the system work? Where does data flow?</t>
  </si>
  <si>
    <t xml:space="preserve">Stage IV – Threat Analysis</t>
  </si>
  <si>
    <t xml:space="preserve">Identify relevant threat actors, threat scenarios, and attack vectors targeting the defined scope</t>
  </si>
  <si>
    <t xml:space="preserve">Who would attack us and how? What are the threat scenarios?</t>
  </si>
  <si>
    <t xml:space="preserve">Stage V – Vulnerability Analysis</t>
  </si>
  <si>
    <t xml:space="preserve">Map known vulnerabilities and weaknesses in assets against identified threats</t>
  </si>
  <si>
    <t xml:space="preserve">What weaknesses exist that threats can exploit?</t>
  </si>
  <si>
    <t xml:space="preserve">Stage VI – Attack Modeling</t>
  </si>
  <si>
    <t xml:space="preserve">Model specific attack paths using attack trees or kill chains to understand how threats materialize</t>
  </si>
  <si>
    <t xml:space="preserve">How exactly would an attacker exploit this? What is the kill chain?</t>
  </si>
  <si>
    <t xml:space="preserve">Stage VII – Risk &amp; Impact Analysis</t>
  </si>
  <si>
    <t xml:space="preserve">Quantify and qualify risk based on likelihood and business impact; prioritize mitigations</t>
  </si>
  <si>
    <t xml:space="preserve">What is the business impact? What should we fix first?</t>
  </si>
  <si>
    <t xml:space="preserve">Application Status Colors</t>
  </si>
  <si>
    <t xml:space="preserve">Meaning</t>
  </si>
  <si>
    <t xml:space="preserve">Used In Sheet</t>
  </si>
  <si>
    <t xml:space="preserve">TRIGGERED + ALL CONTROLS IN PLACE</t>
  </si>
  <si>
    <t xml:space="preserve">Threat active — mitigations confirmed ✅</t>
  </si>
  <si>
    <t xml:space="preserve">OT / IT / Shared Threat Sheets</t>
  </si>
  <si>
    <t xml:space="preserve">TRIGGERED + PARTIAL CONTROLS</t>
  </si>
  <si>
    <t xml:space="preserve">Threat active — some controls missing ⚠️</t>
  </si>
  <si>
    <t xml:space="preserve">TRIGGERED + NO CONTROLS</t>
  </si>
  <si>
    <t xml:space="preserve">Threat active — UNMITIGATED ❌</t>
  </si>
  <si>
    <t xml:space="preserve">NOT TRIGGERED</t>
  </si>
  <si>
    <t xml:space="preserve">No active threat detected</t>
  </si>
  <si>
    <t xml:space="preserve">Environment</t>
  </si>
  <si>
    <t xml:space="preserve">Description</t>
  </si>
  <si>
    <t xml:space="preserve">OT Environment</t>
  </si>
  <si>
    <t xml:space="preserve">Operational Technology: PLCs, RTUs, SCADA, HMIs, DCS, IEDs, field devices</t>
  </si>
  <si>
    <t xml:space="preserve">IT Environment</t>
  </si>
  <si>
    <t xml:space="preserve">Information Technology: Servers, workstations, cloud, networks, endpoints, applications</t>
  </si>
  <si>
    <t xml:space="preserve">Shared / Both</t>
  </si>
  <si>
    <t xml:space="preserve">Threats and controls applicable across OT and IT boundaries</t>
  </si>
  <si>
    <t xml:space="preserve">Column Guide — Threat Register Sheets</t>
  </si>
  <si>
    <t xml:space="preserve">Threat ID</t>
  </si>
  <si>
    <t xml:space="preserve">Unique identifier e.g. OT-IV-001 (Environment-Stage-Seq)</t>
  </si>
  <si>
    <t xml:space="preserve">Which of the 7 PASTA stages this threat was identified in</t>
  </si>
  <si>
    <t xml:space="preserve">Threat Scenario</t>
  </si>
  <si>
    <t xml:space="preserve">Short descriptive name of the threat scenario</t>
  </si>
  <si>
    <t xml:space="preserve">Threat Description</t>
  </si>
  <si>
    <t xml:space="preserve">Detailed description: actor, attack vector, and business impact</t>
  </si>
  <si>
    <t xml:space="preserve">Target Asset</t>
  </si>
  <si>
    <t xml:space="preserve">The asset, component, data flow, or trust boundary being targeted</t>
  </si>
  <si>
    <t xml:space="preserve">Attack Vector</t>
  </si>
  <si>
    <t xml:space="preserve">Technical or physical mechanism of exploitation</t>
  </si>
  <si>
    <t xml:space="preserve">Threat Actor</t>
  </si>
  <si>
    <t xml:space="preserve">Likely actor: Nation-State / Cybercriminal / Insider / Hacktivist / Script Kiddie</t>
  </si>
  <si>
    <t xml:space="preserve">Likelihood (1-5)</t>
  </si>
  <si>
    <t xml:space="preserve">Probability of occurrence: 1=Very Low … 5=Very High</t>
  </si>
  <si>
    <t xml:space="preserve">Impact (1-5)</t>
  </si>
  <si>
    <t xml:space="preserve">Consequence severity: 1=Negligible … 5=Catastrophic</t>
  </si>
  <si>
    <t xml:space="preserve">Risk Score</t>
  </si>
  <si>
    <t xml:space="preserve">Likelihood × Impact (auto-calculated)</t>
  </si>
  <si>
    <t xml:space="preserve">Risk Level</t>
  </si>
  <si>
    <t xml:space="preserve">LOW / MEDIUM / HIGH / CRITICAL derived from Risk Score</t>
  </si>
  <si>
    <t xml:space="preserve">Control Mitigation</t>
  </si>
  <si>
    <t xml:space="preserve">Recommended security control(s) to mitigate the threat</t>
  </si>
  <si>
    <t xml:space="preserve">Control Standard Ref</t>
  </si>
  <si>
    <t xml:space="preserve">NIST CSF / IEC 62443 / NERC CIP / ISA reference</t>
  </si>
  <si>
    <t xml:space="preserve">Attack Pattern (CAPEC)</t>
  </si>
  <si>
    <t xml:space="preserve">CAPEC or MITRE ATT&amp;CK reference for the attack pattern</t>
  </si>
  <si>
    <t xml:space="preserve">Control Status</t>
  </si>
  <si>
    <t xml:space="preserve">App sets: None / Partial / Implemented</t>
  </si>
  <si>
    <t xml:space="preserve">Threat Triggered?</t>
  </si>
  <si>
    <t xml:space="preserve">App sets: YES / NO</t>
  </si>
  <si>
    <t xml:space="preserve">App Status</t>
  </si>
  <si>
    <t xml:space="preserve">Auto-colored by app based on triggered + control status</t>
  </si>
  <si>
    <t xml:space="preserve">Notes</t>
  </si>
  <si>
    <t xml:space="preserve">Additional context, residual risk, or remediation timeline</t>
  </si>
  <si>
    <t xml:space="preserve">PASTA Threat Modeling — Risk Dashboard</t>
  </si>
  <si>
    <t xml:space="preserve">OT Environment — Threat Summary</t>
  </si>
  <si>
    <t xml:space="preserve">Metric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</si>
  <si>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</si>
  <si>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</si>
  <si>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</si>
  <si>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</si>
  <si>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</si>
  <si>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Threat Count</t>
  </si>
  <si>
    <t xml:space="preserve">Triggered Threats</t>
  </si>
  <si>
    <t xml:space="preserve">Controls Implemented</t>
  </si>
  <si>
    <t xml:space="preserve">Unmitigated + Triggered</t>
  </si>
  <si>
    <t xml:space="preserve">IT Environment — Threat Summary</t>
  </si>
  <si>
    <t xml:space="preserve">Shared — Threat Summary</t>
  </si>
  <si>
    <t xml:space="preserve">PASTA Stage Distribution (All Environments)</t>
  </si>
  <si>
    <t xml:space="preserve">OT Count</t>
  </si>
  <si>
    <t xml:space="preserve">IT Count</t>
  </si>
  <si>
    <t xml:space="preserve">Shared Count</t>
  </si>
  <si>
    <t xml:space="preserve">🤖 APPLICATION INTEGRATION: Set 'Threat Triggered?' = YES and 'Control Status' = None/Partial/Implemented in each threat sheet. 'App Status' column (Q) and Dashboard counters update automatically.</t>
  </si>
  <si>
    <t xml:space="preserve">PASTA Threat Register — 🔴 OT Threats</t>
  </si>
  <si>
    <t xml:space="preserve">Likelihood
(1-5)</t>
  </si>
  <si>
    <t xml:space="preserve">Impact
(1-5)</t>
  </si>
  <si>
    <t xml:space="preserve">Risk
Score</t>
  </si>
  <si>
    <t xml:space="preserve">Attack Pattern
(CAPEC)</t>
  </si>
  <si>
    <t xml:space="preserve">Threat
Triggered?</t>
  </si>
  <si>
    <t xml:space="preserve">OT-I-001</t>
  </si>
  <si>
    <t xml:space="preserve">Regulatory Non-Compliance Exploitation</t>
  </si>
  <si>
    <t xml:space="preserve">Attacker targets known compliance gaps in NERC CIP or IEC 62443 programs to exploit unprotected critical cyber assets that regulators have not yet flagged</t>
  </si>
  <si>
    <t xml:space="preserve">Critical Cyber Assets / CIP Program</t>
  </si>
  <si>
    <t xml:space="preserve">Exploitation of audit scope exclusions or CIP categorization gaps</t>
  </si>
  <si>
    <t xml:space="preserve">Nation-State / Cybercriminal</t>
  </si>
  <si>
    <t xml:space="preserve">Annual CIP asset categorization review; threat-informed compliance program; internal audits beyond minimum regulatory scope</t>
  </si>
  <si>
    <t xml:space="preserve">NERC CIP-002 / IEC 62443-2-1</t>
  </si>
  <si>
    <t xml:space="preserve">CAPEC-169</t>
  </si>
  <si>
    <t xml:space="preserve">None</t>
  </si>
  <si>
    <t xml:space="preserve">NO</t>
  </si>
  <si>
    <t xml:space="preserve">Compliance scope gaps are a known blind spot in critical infrastructure protection</t>
  </si>
  <si>
    <t xml:space="preserve">OT-I-002</t>
  </si>
  <si>
    <t xml:space="preserve">Safety Case Integrity Attack</t>
  </si>
  <si>
    <t xml:space="preserve">Adversary targets documented safety cases and functional safety assessments to understand system limitations and design attacks that cause injury or environmental damage while bypassing safety systems</t>
  </si>
  <si>
    <t xml:space="preserve">Safety Case Documentation / SIS Design</t>
  </si>
  <si>
    <t xml:space="preserve">Document theft followed by targeted SIS manipulation</t>
  </si>
  <si>
    <t xml:space="preserve">Nation-State / Insider</t>
  </si>
  <si>
    <t xml:space="preserve">Classify safety case documents; restrict access to SIL assessments; physical security for safety documentation; independent SIS verification</t>
  </si>
  <si>
    <t xml:space="preserve">IEC 61511 / IEC 62443-2-1</t>
  </si>
  <si>
    <t xml:space="preserve">CAPEC-116</t>
  </si>
  <si>
    <t xml:space="preserve">Safety case documents provide a roadmap for physical attacks through cyber means</t>
  </si>
  <si>
    <t xml:space="preserve">OT-II-003</t>
  </si>
  <si>
    <t xml:space="preserve">Asset Inventory Gap Exploitation</t>
  </si>
  <si>
    <t xml:space="preserve">Attacker leverages unknown or unmanaged OT assets (shadow devices, legacy PLCs) that fall outside the security monitoring scope to establish persistent footholds</t>
  </si>
  <si>
    <t xml:space="preserve">Unmanaged / Shadow OT Devices</t>
  </si>
  <si>
    <t xml:space="preserve">Network discovery of unmonitored assets followed by targeted exploitation</t>
  </si>
  <si>
    <t xml:space="preserve">Cybercriminal / Nation-State</t>
  </si>
  <si>
    <t xml:space="preserve">Passive OT asset discovery (Dragos, Claroty, Nozomi); automated asset inventory; network access control for unauthorized devices; regular asset reconciliation</t>
  </si>
  <si>
    <t xml:space="preserve">IEC 62443-2-1 / NIST SP 800-82</t>
  </si>
  <si>
    <t xml:space="preserve">CAPEC-309</t>
  </si>
  <si>
    <t xml:space="preserve">OT asset inventories are routinely 30-50% incomplete in brownfield environments</t>
  </si>
  <si>
    <t xml:space="preserve">OT-II-004</t>
  </si>
  <si>
    <t xml:space="preserve">Trust Boundary Violation via DMZ Misconfiguration</t>
  </si>
  <si>
    <t xml:space="preserve">Attacker pivots from IT to OT by exploiting a misconfigured or overly permissive rule in the IT/OT DMZ firewall, violating the intended trust boundary</t>
  </si>
  <si>
    <t xml:space="preserve">IT/OT DMZ / Firewall</t>
  </si>
  <si>
    <t xml:space="preserve">Firewall rule exploitation; protocol tunneling through allowed ports</t>
  </si>
  <si>
    <t xml:space="preserve">Firewall rule base audit; deny-all default with explicit allow; data diodes for one-way feeds; quarterly DMZ penetration testing; network traffic analysis</t>
  </si>
  <si>
    <t xml:space="preserve">IEC 62443-3-3 SR 5.1 / NIST SP 800-82</t>
  </si>
  <si>
    <t xml:space="preserve">CAPEC-122</t>
  </si>
  <si>
    <t xml:space="preserve">Firewall misconfigurations are the most common IT-to-OT lateral movement enabler</t>
  </si>
  <si>
    <t xml:space="preserve">OT-II-005</t>
  </si>
  <si>
    <t xml:space="preserve">Remote Access Surface Exploitation</t>
  </si>
  <si>
    <t xml:space="preserve">Attacker exploits exposed remote access points (VPN, RDP, vendor jump servers) to the OT network that were enabled for operational necessity but inadequately secured</t>
  </si>
  <si>
    <t xml:space="preserve">Remote Access Gateway / VPN</t>
  </si>
  <si>
    <t xml:space="preserve">Credential stuffing; VPN vulnerability exploitation; vendor credential theft</t>
  </si>
  <si>
    <t xml:space="preserve">MFA on all remote access; JIT/JEA vendor access; session recording; disable persistent vendor connections; OT-specific VPN with strict ACLs</t>
  </si>
  <si>
    <t xml:space="preserve">IEC 62443-2-4 / NERC CIP-005</t>
  </si>
  <si>
    <t xml:space="preserve">CAPEC-50</t>
  </si>
  <si>
    <t xml:space="preserve">Verizon DBIR: remote access is the #1 OT initial access vector</t>
  </si>
  <si>
    <t xml:space="preserve">OT-III-006</t>
  </si>
  <si>
    <t xml:space="preserve">Data Flow Interception between SCADA and Field Devices</t>
  </si>
  <si>
    <t xml:space="preserve">Attacker intercepts unencrypted data flows between SCADA master and field RTUs/PLCs to capture process values, inject false data, or replay commands</t>
  </si>
  <si>
    <t xml:space="preserve">SCADA-to-Field Data Flows</t>
  </si>
  <si>
    <t xml:space="preserve">Man-in-the-Middle on OT LAN; ARP poisoning; protocol replay</t>
  </si>
  <si>
    <t xml:space="preserve">OT-aware IDS monitoring data flows; authenticated protocol variants (DNP3 SA); network encryption where supported; strict VLAN segmentation limiting flow exposure</t>
  </si>
  <si>
    <t xml:space="preserve">IEC 62443-3-3 SR 3.2 / IEC 62351</t>
  </si>
  <si>
    <t xml:space="preserve">CAPEC-94</t>
  </si>
  <si>
    <t xml:space="preserve">Legacy protocols lack authentication — detection is the primary compensating control</t>
  </si>
  <si>
    <t xml:space="preserve">OT-III-007</t>
  </si>
  <si>
    <t xml:space="preserve">HMI Entry Point Compromise</t>
  </si>
  <si>
    <t xml:space="preserve">Attacker uses the HMI as a decomposition entry point — it aggregates data from all PLCs and provides write access, making it the highest-value target in the control architecture</t>
  </si>
  <si>
    <t xml:space="preserve">HMI Workstation / SCADA Client</t>
  </si>
  <si>
    <t xml:space="preserve">Spear-phishing operator; removable media; vulnerable HMI software exploitation</t>
  </si>
  <si>
    <t xml:space="preserve">Cybercriminal / Insider</t>
  </si>
  <si>
    <t xml:space="preserve">Application whitelisting on HMI; disable USB ports; patch HMI software; network isolation of HMI VLAN; role-based access for HMI functions</t>
  </si>
  <si>
    <t xml:space="preserve">IEC 62443-3-3 SR 2.4 / NIST SP 800-82</t>
  </si>
  <si>
    <t xml:space="preserve">CAPEC-86</t>
  </si>
  <si>
    <t xml:space="preserve">HMI compromise provides immediate process visibility and control capability to attacker</t>
  </si>
  <si>
    <t xml:space="preserve">OT-III-008</t>
  </si>
  <si>
    <t xml:space="preserve">Historian Replication Channel Abuse</t>
  </si>
  <si>
    <t xml:space="preserve">Attacker abuses the historian replication data flow between OT and IT zones — a necessary business connection — to pivot into OT or exfiltrate sensitive process data</t>
  </si>
  <si>
    <t xml:space="preserve">Process Historian / Replication Channel</t>
  </si>
  <si>
    <t xml:space="preserve">Exploitation of historian connector software; credential theft for replication account</t>
  </si>
  <si>
    <t xml:space="preserve">Unidirectional data diode or firewall on historian replication; dedicated replication service account with minimal privileges; encrypt historian replication traffic</t>
  </si>
  <si>
    <t xml:space="preserve">IEC 62443-3-3 SR 5.2 / NIST SP 800-82</t>
  </si>
  <si>
    <t xml:space="preserve">CAPEC-188</t>
  </si>
  <si>
    <t xml:space="preserve">Historian replication is a common IT/OT boundary crossing — must be hardened</t>
  </si>
  <si>
    <t xml:space="preserve">OT-IV-009</t>
  </si>
  <si>
    <t xml:space="preserve">Nation-State ICS-Specific Malware Deployment</t>
  </si>
  <si>
    <t xml:space="preserve">Nation-state actor deploys ICS-specific malware (Industroyer, TRITON/TRISIS, Pipedream) targeting PLCs, safety controllers, or protection relays to cause physical damage or safety incidents</t>
  </si>
  <si>
    <t xml:space="preserve">PLC / Safety Controller / Protection Relay</t>
  </si>
  <si>
    <t xml:space="preserve">Spear-phishing → lateral movement → OT-specific payload deployment</t>
  </si>
  <si>
    <t xml:space="preserve">Nation-State</t>
  </si>
  <si>
    <t xml:space="preserve">OT threat intelligence feeds; network behavioral analytics; ICS-specific malware detection (Dragos/Claroty); safety system isolation; incident response retainer with ICS expertise</t>
  </si>
  <si>
    <t xml:space="preserve">IEC 62443-3-3 / NERC CIP-007</t>
  </si>
  <si>
    <t xml:space="preserve">CAPEC-439</t>
  </si>
  <si>
    <t xml:space="preserve">TRITON targeted Safety Instrumented Systems; Pipedream designed for broad ICS impact</t>
  </si>
  <si>
    <t xml:space="preserve">OT-IV-010</t>
  </si>
  <si>
    <t xml:space="preserve">Insider Sabotage of Process Control</t>
  </si>
  <si>
    <t xml:space="preserve">Disgruntled or coerced insider with engineering access intentionally misconfigures PLC setpoints, alarm limits, or interlocks to cause process upsets or equipment damage</t>
  </si>
  <si>
    <t xml:space="preserve">PLC / DCS / Safety Setpoints</t>
  </si>
  <si>
    <t xml:space="preserve">Direct engineering workstation access; abuse of legitimate credentials</t>
  </si>
  <si>
    <t xml:space="preserve">Insider</t>
  </si>
  <si>
    <t xml:space="preserve">Dual-person authorization for critical setpoint changes; behavioral monitoring of engineering workstations; change management controls; separation of duties for safety parameters</t>
  </si>
  <si>
    <t xml:space="preserve">IEC 62443-2-1 / IEC 61511</t>
  </si>
  <si>
    <t xml:space="preserve">Insider sabotage is underreported; operational culture and HR controls are as important as technical controls</t>
  </si>
  <si>
    <t xml:space="preserve">OT-IV-011</t>
  </si>
  <si>
    <t xml:space="preserve">Supply Chain Hardware Implant</t>
  </si>
  <si>
    <t xml:space="preserve">Compromised hardware component (PLC, switch, relay) delivered through the supply chain with embedded malicious firmware or hardware implant enabling persistent covert access</t>
  </si>
  <si>
    <t xml:space="preserve">Hardware Supply Chain / Field Devices</t>
  </si>
  <si>
    <t xml:space="preserve">Counterfeit or tampered hardware insertion during procurement or maintenance</t>
  </si>
  <si>
    <t xml:space="preserve">Hardware vendor vetting program; firmware hash verification on receipt; tamper-evident packaging; hardware security modules for critical devices</t>
  </si>
  <si>
    <t xml:space="preserve">NIST SP 800-161 / IEC 62443-2-4</t>
  </si>
  <si>
    <t xml:space="preserve">Bloomberg 'Big Hack' highlighted hardware supply chain risk; extremely difficult to detect</t>
  </si>
  <si>
    <t xml:space="preserve">OT-IV-012</t>
  </si>
  <si>
    <t xml:space="preserve">Watering Hole Attack Targeting OT Vendors</t>
  </si>
  <si>
    <t xml:space="preserve">Attacker compromises a website frequently visited by OT engineers (vendor portal, ICS forum) to deliver targeted exploits against engineering workstation browsers</t>
  </si>
  <si>
    <t xml:space="preserve">Engineering Workstations / OT Staff</t>
  </si>
  <si>
    <t xml:space="preserve">Compromised vendor website; malicious download masquerading as firmware update</t>
  </si>
  <si>
    <t xml:space="preserve">Web proxy filtering on EWS; browser isolation; restrict engineering workstation internet access; OT-specific threat intelligence</t>
  </si>
  <si>
    <t xml:space="preserve">Engineering workstations are high-value targets with direct PLC programming access</t>
  </si>
  <si>
    <t xml:space="preserve">OT-V-013</t>
  </si>
  <si>
    <t xml:space="preserve">Unpatched PLC Firmware Exploitation</t>
  </si>
  <si>
    <t xml:space="preserve">Attacker exploits a known CVE in PLC firmware that has not been patched due to operational constraints or lack of vendor patch support, gaining remote code execution on the controller</t>
  </si>
  <si>
    <t xml:space="preserve">PLC / RTU Firmware</t>
  </si>
  <si>
    <t xml:space="preserve">Network-based exploitation of published CVE; protocol fuzzing</t>
  </si>
  <si>
    <t xml:space="preserve">OT vulnerability management program; ICS-CERT advisories monitoring; compensating controls (network segmentation, IDS) where patching is not feasible; patch lab environment</t>
  </si>
  <si>
    <t xml:space="preserve">IEC 62443-2-1 / NERC CIP-007</t>
  </si>
  <si>
    <t xml:space="preserve">CAPEC-66</t>
  </si>
  <si>
    <t xml:space="preserve">OT devices routinely run firmware that is years or decades out of date due to operational constraints</t>
  </si>
  <si>
    <t xml:space="preserve">OT-V-014</t>
  </si>
  <si>
    <t xml:space="preserve">Default Credential Exploitation on Field Devices</t>
  </si>
  <si>
    <t xml:space="preserve">Attacker discovers and exploits default vendor credentials on PLCs, HMIs, or network switches that were never changed during commissioning</t>
  </si>
  <si>
    <t xml:space="preserve">PLCs / HMIs / Network Infrastructure</t>
  </si>
  <si>
    <t xml:space="preserve">Default credential login; credential spraying with known vendor default lists</t>
  </si>
  <si>
    <t xml:space="preserve">Cybercriminal / Script Kiddie</t>
  </si>
  <si>
    <t xml:space="preserve">Mandatory default credential change during commissioning; credential audit of all OT devices; PAM for OT device credentials; network-based anomaly detection</t>
  </si>
  <si>
    <t xml:space="preserve">IEC 62443-3-3 SR 1.3 / NIST SP 800-82</t>
  </si>
  <si>
    <t xml:space="preserve">CAPEC-70</t>
  </si>
  <si>
    <t xml:space="preserve">Shodan regularly indexes industrial devices with default credentials; widely exploited</t>
  </si>
  <si>
    <t xml:space="preserve">OT-V-015</t>
  </si>
  <si>
    <t xml:space="preserve">Vulnerable Engineering Software Exploitation</t>
  </si>
  <si>
    <t xml:space="preserve">Exploitation of CVEs in engineering software (TIA Portal, Studio 5000, EcoStruxure) installed on EWS to gain code execution and access to PLC programming functions</t>
  </si>
  <si>
    <t xml:space="preserve">Engineering Software / EWS</t>
  </si>
  <si>
    <t xml:space="preserve">Malicious project file opening; vulnerable component exploitation; plugin abuse</t>
  </si>
  <si>
    <t xml:space="preserve">Keep engineering software patched; sandboxed project file validation; restrict EWS internet/email access; application whitelisting; vendor advisory monitoring</t>
  </si>
  <si>
    <t xml:space="preserve">CAPEC-76</t>
  </si>
  <si>
    <t xml:space="preserve">Siemens, Rockwell, Schneider regularly publish ICS security advisories — subscribe and track</t>
  </si>
  <si>
    <t xml:space="preserve">OT-VI-016</t>
  </si>
  <si>
    <t xml:space="preserve">IT-to-OT Kill Chain via Spear-Phishing</t>
  </si>
  <si>
    <t xml:space="preserve">Full kill chain: spear-phishing corporate user → credential harvest → lateral movement through IT → DMZ pivot → SCADA network access → PLC manipulation (Purdue Model bypass)</t>
  </si>
  <si>
    <t xml:space="preserve">Enterprise IT → OT Network</t>
  </si>
  <si>
    <t xml:space="preserve">Email phishing → post-exploitation framework → protocol pivoting</t>
  </si>
  <si>
    <t xml:space="preserve">Defense-in-depth across all kill chain stages; IT/OT segmentation; OT-specific EDR/NDR; cross-domain attack detection in SIEM; OT incident response playbook</t>
  </si>
  <si>
    <t xml:space="preserve">IEC 62443-3-3 / NIST CSF</t>
  </si>
  <si>
    <t xml:space="preserve">CAPEC-167</t>
  </si>
  <si>
    <t xml:space="preserve">Most sophisticated OT attacks follow this multi-stage kill chain — detection at each stage is required</t>
  </si>
  <si>
    <t xml:space="preserve">OT-VI-017</t>
  </si>
  <si>
    <t xml:space="preserve">Modbus Command Injection Attack Tree</t>
  </si>
  <si>
    <t xml:space="preserve">Modeled attack tree: network access → ARP spoofing → Modbus master impersonation → coil/register write → actuator misoperation → process upset or equipment damage</t>
  </si>
  <si>
    <t xml:space="preserve">Modbus Devices / Actuators</t>
  </si>
  <si>
    <t xml:space="preserve">ARP poisoning; Modbus write function code abuse (FC05, FC06, FC15, FC16)</t>
  </si>
  <si>
    <t xml:space="preserve">OT-IDS with Modbus deep packet inspection; anomaly detection on unusual function codes or register write patterns; network segmentation limiting Modbus exposure</t>
  </si>
  <si>
    <t xml:space="preserve">Modbus has zero authentication; all access = full control; detection-only compensating control</t>
  </si>
  <si>
    <t xml:space="preserve">OT-VI-018</t>
  </si>
  <si>
    <t xml:space="preserve">Ransomware Propagation Attack Path Across OT</t>
  </si>
  <si>
    <t xml:space="preserve">Modeled propagation: phishing → IT domain compromise → dual-homed host → OT VLAN → SCADA server encryption → historian loss → operational shutdown</t>
  </si>
  <si>
    <t xml:space="preserve">IT/OT Network / SCADA / Historian</t>
  </si>
  <si>
    <t xml:space="preserve">Ransomware worm propagation via SMB, RDP, or OT-specific protocols</t>
  </si>
  <si>
    <t xml:space="preserve">Cybercriminal</t>
  </si>
  <si>
    <t xml:space="preserve">Eliminate dual-homed hosts; OT network micro-segmentation; offline OT system backups; application whitelisting on SCADA servers; OT DR testing</t>
  </si>
  <si>
    <t xml:space="preserve">IEC 62443-3-3 / NIST CSF RC.RP-1</t>
  </si>
  <si>
    <t xml:space="preserve">CAPEC-549</t>
  </si>
  <si>
    <t xml:space="preserve">Colonial Pipeline modeled this path; operational impact lasted days without full OT network segmentation</t>
  </si>
  <si>
    <t xml:space="preserve">OT-VII-019</t>
  </si>
  <si>
    <t xml:space="preserve">Physical Damage via Cyber-Induced Equipment Overspeed</t>
  </si>
  <si>
    <t xml:space="preserve">Highest-consequence scenario: attacker manipulates speed setpoints on rotating equipment (turbines, compressors) above safety limits while suppressing protective relay trips, causing catastrophic mechanical failure</t>
  </si>
  <si>
    <t xml:space="preserve">Rotating Equipment / Protection Relays</t>
  </si>
  <si>
    <t xml:space="preserve">PLC setpoint manipulation + relay trip suppression</t>
  </si>
  <si>
    <t xml:space="preserve">Independent hardware safety interlocks not accessible via network; SIL-rated overspeed protection; physical governor limits; cyber-physical impact assessment</t>
  </si>
  <si>
    <t xml:space="preserve">IEC 61511 / IEC 62443-3-3</t>
  </si>
  <si>
    <t xml:space="preserve">Aurora Generator Test demonstrated turbine destruction via cyber attack — highest OT risk scenario</t>
  </si>
  <si>
    <t xml:space="preserve">OT-VII-020</t>
  </si>
  <si>
    <t xml:space="preserve">Environmental Release via Process Parameter Manipulation</t>
  </si>
  <si>
    <t xml:space="preserve">Cyber attack manipulates chemical process parameters (pressure, temperature, valve positions) to cause uncontrolled release of hazardous materials, causing environmental damage and potential casualties</t>
  </si>
  <si>
    <t xml:space="preserve">Chemical Process / Safety Valves / DCS</t>
  </si>
  <si>
    <t xml:space="preserve">DCS setpoint manipulation; safety valve command injection</t>
  </si>
  <si>
    <t xml:space="preserve">Independent SIS with hardwired interlocks; process hazard analysis incorporating cyber scenarios; emergency shutdown drills; environmental monitoring systems</t>
  </si>
  <si>
    <t xml:space="preserve">IEC 61511 / IEC 62443-3-3 SR 7.3</t>
  </si>
  <si>
    <t xml:space="preserve">TRITON/TRISIS targeted Schneider Triconex SIS in petrochemical facility — this scenario is real</t>
  </si>
  <si>
    <t xml:space="preserve">OT-VII-021</t>
  </si>
  <si>
    <t xml:space="preserve">Extended Grid Outage via Coordinated Substation Attack</t>
  </si>
  <si>
    <t xml:space="preserve">Coordinated cyber attack on multiple substations (Industroyer/Crashoverride model) causes simultaneous protection relay misoperation, resulting in extended regional power outage</t>
  </si>
  <si>
    <t xml:space="preserve">Substation Protection Relays / EMS</t>
  </si>
  <si>
    <t xml:space="preserve">IEC 61850 GOOSE message injection; protection relay firmware attack; SCADA command spoofing</t>
  </si>
  <si>
    <t xml:space="preserve">Defense-in-depth for substation automation; IEC 62351 for substation communication security; network segmentation per substation; manual fallback procedures; NERC CIP enforcement</t>
  </si>
  <si>
    <t xml:space="preserve">NERC CIP-014 / IEC 62351</t>
  </si>
  <si>
    <t xml:space="preserve">Ukraine 2015/2016 grid attacks demonstrated this scenario; recovery required manual re-energization</t>
  </si>
  <si>
    <t xml:space="preserve">PASTA Threat Register — 🟢 IT Threats</t>
  </si>
  <si>
    <t xml:space="preserve">IT-I-001</t>
  </si>
  <si>
    <t xml:space="preserve">Business-Motivated Data Theft for Competitive Advantage</t>
  </si>
  <si>
    <t xml:space="preserve">Attacker targets corporate intellectual property (R&amp;D, product designs, M&amp;A plans) aligned with specific business objectives that have identifiable economic value to nation-state or competitor</t>
  </si>
  <si>
    <t xml:space="preserve">Intellectual Property / Corporate Data</t>
  </si>
  <si>
    <t xml:space="preserve">Spear-phishing executives; cloud storage exfiltration; insider recruitment</t>
  </si>
  <si>
    <t xml:space="preserve">Data classification and DLP; UEBA for anomalous data access; email security with executive protection; IP access auditing; insider threat program</t>
  </si>
  <si>
    <t xml:space="preserve">NIST SP 800-53 AC-4 / CIS Control 3</t>
  </si>
  <si>
    <t xml:space="preserve">Economic espionage targets align with national strategic priorities — threat-informed approach required</t>
  </si>
  <si>
    <t xml:space="preserve">IT-I-002</t>
  </si>
  <si>
    <t xml:space="preserve">Ransomware Business Disruption for Financial Gain</t>
  </si>
  <si>
    <t xml:space="preserve">Organized criminal group deploys ransomware targeting business-critical IT systems to extort payment, with double-extortion exfiltration ensuring leverage even with backups</t>
  </si>
  <si>
    <t xml:space="preserve">IT Infrastructure / Business Operations</t>
  </si>
  <si>
    <t xml:space="preserve">Phishing → initial access broker → lateral movement → ransomware deployment</t>
  </si>
  <si>
    <t xml:space="preserve">Offline immutable backups; EDR with rollback; network segmentation; IR retainer; tested DR plan; cyber insurance; employee security awareness</t>
  </si>
  <si>
    <t xml:space="preserve">NIST CSF RC.RP-1 / CIS Control 11</t>
  </si>
  <si>
    <t xml:space="preserve">Average ransomware recovery cost exceeds $1.8M (Sophos 2024); prevention and recovery planning equally important</t>
  </si>
  <si>
    <t xml:space="preserve">IT-II-003</t>
  </si>
  <si>
    <t xml:space="preserve">Cloud Shadow IT Attack Surface</t>
  </si>
  <si>
    <t xml:space="preserve">Business units deploy unauthorized cloud services outside security team visibility, creating unmonitored attack surface with misconfigurations and inadequate security controls</t>
  </si>
  <si>
    <t xml:space="preserve">Shadow Cloud Services / SaaS</t>
  </si>
  <si>
    <t xml:space="preserve">Exploitation of misconfigured public-facing shadow IT resources</t>
  </si>
  <si>
    <t xml:space="preserve">Cloud Access Security Broker (CASB); DNS monitoring for unknown SaaS; Cloud Security Posture Management; approved cloud service catalog; automated shadow IT discovery</t>
  </si>
  <si>
    <t xml:space="preserve">NIST CSF ID.AM-3 / CIS Control 1</t>
  </si>
  <si>
    <t xml:space="preserve">CAPEC-212</t>
  </si>
  <si>
    <t xml:space="preserve">Shadow IT is endemic — CASB and DNS monitoring are the most effective detection approaches</t>
  </si>
  <si>
    <t xml:space="preserve">IT-II-004</t>
  </si>
  <si>
    <t xml:space="preserve">Internet-Exposed Management Interfaces</t>
  </si>
  <si>
    <t xml:space="preserve">Attacker discovers and exploits internet-exposed administrative interfaces (RDP, SSH, Citrix, VPN, admin portals) that are accessible without adequate authentication controls</t>
  </si>
  <si>
    <t xml:space="preserve">Internet-Facing Management Interfaces</t>
  </si>
  <si>
    <t xml:space="preserve">Shodan/Censys reconnaissance; credential brute-force; vulnerability exploitation</t>
  </si>
  <si>
    <t xml:space="preserve">External attack surface management (ASM) tool; restrict management interfaces to VPN/private network only; MFA on all remote management; automated internet exposure monitoring</t>
  </si>
  <si>
    <t xml:space="preserve">NIST CSF PR.AC-3 / CIS Control 12</t>
  </si>
  <si>
    <t xml:space="preserve">CAPEC-48</t>
  </si>
  <si>
    <t xml:space="preserve">Shodan exposes thousands of corporate RDP/SSH interfaces; external ASM is a foundational capability</t>
  </si>
  <si>
    <t xml:space="preserve">IT-III-005</t>
  </si>
  <si>
    <t xml:space="preserve">API Gateway Logic Bypass</t>
  </si>
  <si>
    <t xml:space="preserve">Attacker identifies and exploits API endpoints that bypass the gateway through direct backend access, circumventing authentication, rate limiting, and input validation controls</t>
  </si>
  <si>
    <t xml:space="preserve">API Gateway / Backend Services</t>
  </si>
  <si>
    <t xml:space="preserve">Direct backend API access; IDOR; JWT manipulation; API versioning abuse</t>
  </si>
  <si>
    <t xml:space="preserve">Enforce API gateway for all backend access; network policy blocking direct backend access; API security testing (OWASP API Top 10); JWT validation hardening</t>
  </si>
  <si>
    <t xml:space="preserve">OWASP API Top 10 / NIST SP 800-53 SC-8</t>
  </si>
  <si>
    <t xml:space="preserve">CAPEC-110</t>
  </si>
  <si>
    <t xml:space="preserve">OWASP API Security Top 10 documents systematic API decomposition attack patterns</t>
  </si>
  <si>
    <t xml:space="preserve">IT-III-006</t>
  </si>
  <si>
    <t xml:space="preserve">Authentication Service Single Point of Failure Attack</t>
  </si>
  <si>
    <t xml:space="preserve">Attacker targets the identity provider (AD, SAML IDP, OAuth server) as a high-value decomposition target — compromise yields access to all dependent applications</t>
  </si>
  <si>
    <t xml:space="preserve">Active Directory / Identity Provider</t>
  </si>
  <si>
    <t xml:space="preserve">Golden Ticket; DCSync; SAML token forgery; IDP admin compromise</t>
  </si>
  <si>
    <t xml:space="preserve">AD tiering model; protect IDP with hardware MFA; monitor DCSync events; IDP hardening (MDE for Identity); break-glass account procedures</t>
  </si>
  <si>
    <t xml:space="preserve">NIST SP 800-63C / CIS Control 5</t>
  </si>
  <si>
    <t xml:space="preserve">CAPEC-194</t>
  </si>
  <si>
    <t xml:space="preserve">Identity provider compromise is game-over for all federated applications — highest priority hardening target</t>
  </si>
  <si>
    <t xml:space="preserve">IT-III-007</t>
  </si>
  <si>
    <t xml:space="preserve">Microservice Trust Exploitation</t>
  </si>
  <si>
    <t xml:space="preserve">Attacker compromises one microservice and exploits implicit trust between microservices (missing mTLS, overpermissive service accounts) to laterally move across the application</t>
  </si>
  <si>
    <t xml:space="preserve">Microservices / Service Mesh</t>
  </si>
  <si>
    <t xml:space="preserve">Service account token theft; internal API exploitation; SSRF to metadata service</t>
  </si>
  <si>
    <t xml:space="preserve">Mutual TLS (mTLS) between all services; service mesh (Istio/Linkerd); least-privilege service accounts; zero-trust microsegmentation; SSRF protections</t>
  </si>
  <si>
    <t xml:space="preserve">NIST SP 800-204 / CIS Control 14</t>
  </si>
  <si>
    <t xml:space="preserve">Microservice architectures assume internal trust by default — explicitly deny and authenticate all service-to-service calls</t>
  </si>
  <si>
    <t xml:space="preserve">IT-IV-008</t>
  </si>
  <si>
    <t xml:space="preserve">Advanced Persistent Threat Dwell Time Exploitation</t>
  </si>
  <si>
    <t xml:space="preserve">Nation-state APT establishes persistent access in corporate IT network and spends months performing reconnaissance, data exfiltration, and capability staging before being detected</t>
  </si>
  <si>
    <t xml:space="preserve">IT Network / Corporate Systems</t>
  </si>
  <si>
    <t xml:space="preserve">Living-off-the-land; LOLBins; encrypted C2 channels; legitimate tool abuse</t>
  </si>
  <si>
    <t xml:space="preserve">Threat hunting program; behavioral analytics (UEBA/EDR); network traffic analysis; 90-day log retention minimum; purple team exercises; threat intelligence integration</t>
  </si>
  <si>
    <t xml:space="preserve">NIST SP 800-61 / MITRE ATT&amp;CK</t>
  </si>
  <si>
    <t xml:space="preserve">Average APT dwell time historically &gt;200 days before detection; proactive hunting essential</t>
  </si>
  <si>
    <t xml:space="preserve">IT-IV-009</t>
  </si>
  <si>
    <t xml:space="preserve">Insider Threat — Privileged Data Exfiltration</t>
  </si>
  <si>
    <t xml:space="preserve">Malicious insider with privileged access to sensitive systems systematically exfiltrates customer data, credentials, or IP before resignation or under external coercion</t>
  </si>
  <si>
    <t xml:space="preserve">Privileged Systems / Sensitive Data</t>
  </si>
  <si>
    <t xml:space="preserve">Legitimate access abuse; bulk data export; encrypted personal cloud sync</t>
  </si>
  <si>
    <t xml:space="preserve">UEBA with insider threat detection; DLP with user attribution; screen recording for privileged sessions; data access auditing; offboarding checklist; background screening</t>
  </si>
  <si>
    <t xml:space="preserve">NIST SP 800-53 AC-2 / CIS Control 8</t>
  </si>
  <si>
    <t xml:space="preserve">Insider threats cause 34% of breaches (Verizon DBIR) — hardest to detect with purely technical controls</t>
  </si>
  <si>
    <t xml:space="preserve">IT-IV-010</t>
  </si>
  <si>
    <t xml:space="preserve">Business Email Compromise Targeting Finance</t>
  </si>
  <si>
    <t xml:space="preserve">Attacker compromises executive or finance email account (or creates convincing look-alike domain) to authorize fraudulent wire transfers or manipulate financial processes</t>
  </si>
  <si>
    <t xml:space="preserve">Email / Finance Systems</t>
  </si>
  <si>
    <t xml:space="preserve">Executive email compromise; CEO impersonation; invoice fraud</t>
  </si>
  <si>
    <t xml:space="preserve">MFA on all email accounts; DMARC/DKIM/SPF enforcement; out-of-band wire transfer verification; financial transaction anomaly detection; executive email domain monitoring</t>
  </si>
  <si>
    <t xml:space="preserve">NIST SP 800-53 SI-12 / CIS Control 6</t>
  </si>
  <si>
    <t xml:space="preserve">CAPEC-98</t>
  </si>
  <si>
    <t xml:space="preserve">BEC losses exceed $2.9B annually (FBI IC3); most effective defense is out-of-band verification</t>
  </si>
  <si>
    <t xml:space="preserve">IT-V-011</t>
  </si>
  <si>
    <t xml:space="preserve">Unpatched Critical Vulnerability Exploitation (N-Day)</t>
  </si>
  <si>
    <t xml:space="preserve">Attacker exploits a known critical CVE (CVSS 9+) in internet-facing or internal systems that has not been patched within the organization's patching SLA, enabling initial access or privilege escalation</t>
  </si>
  <si>
    <t xml:space="preserve">Internet-Facing / Internal Systems</t>
  </si>
  <si>
    <t xml:space="preserve">Public exploit code execution against unpatched vulnerability</t>
  </si>
  <si>
    <t xml:space="preserve">Vulnerability management with &lt;30-day SLA for critical; continuous scanning; prioritization by exploitability (EPSS); compensating controls while patching; patch exception process</t>
  </si>
  <si>
    <t xml:space="preserve">NIST SP 800-53 SI-2 / CIS Control 7</t>
  </si>
  <si>
    <t xml:space="preserve">ExploitDB and Metasploit make n-day exploitation trivial; patch velocity is the key metric</t>
  </si>
  <si>
    <t xml:space="preserve">IT-V-012</t>
  </si>
  <si>
    <t xml:space="preserve">Misconfigured Cloud IAM Privilege Escalation Path</t>
  </si>
  <si>
    <t xml:space="preserve">Security assessment reveals privilege escalation paths through misconfigured IAM policies, resource-based policies, or trust relationships that allow a low-privilege user to achieve admin access</t>
  </si>
  <si>
    <t xml:space="preserve">Cloud IAM / Resource Policies</t>
  </si>
  <si>
    <t xml:space="preserve">IAM policy exploitation; assume-role chaining; resource-based policy abuse</t>
  </si>
  <si>
    <t xml:space="preserve">IAM Access Analyzer; Cloudsplaining/PMapper for IAM analysis; least-privilege IAM; SCPs as guardrails; Privileged Identity Management with JIT elevation</t>
  </si>
  <si>
    <t xml:space="preserve">CIS AWS/Azure Benchmark / NIST CSF PR.AC-4</t>
  </si>
  <si>
    <t xml:space="preserve">IAM misconfigurations are endemic in cloud; automated analysis tools reveal paths human review misses</t>
  </si>
  <si>
    <t xml:space="preserve">IT-V-013</t>
  </si>
  <si>
    <t xml:space="preserve">Third-Party Library Vulnerability in Production</t>
  </si>
  <si>
    <t xml:space="preserve">Critical vulnerability discovered in a widely-used open-source library (Log4Shell, Spring4Shell model) present in production applications, enabling remote code execution at scale</t>
  </si>
  <si>
    <t xml:space="preserve">Application Dependencies / Production Apps</t>
  </si>
  <si>
    <t xml:space="preserve">Remote code execution via vulnerable library function</t>
  </si>
  <si>
    <t xml:space="preserve">Software Composition Analysis (SCA) in CI/CD; SBOM generation and monitoring; rapid patch deployment pipeline; WAF virtual patching as compensating control</t>
  </si>
  <si>
    <t xml:space="preserve">NIST SP 800-53 SA-15 / CIS Control 2</t>
  </si>
  <si>
    <t xml:space="preserve">Log4Shell affected millions of systems; SCA and SBOM are the only scalable response to this class of vulnerability</t>
  </si>
  <si>
    <t xml:space="preserve">IT-VI-014</t>
  </si>
  <si>
    <t xml:space="preserve">Ransomware Kill Chain — Full Attack Path Model</t>
  </si>
  <si>
    <t xml:space="preserve">Modeled end-to-end: phishing email → macro execution → Cobalt Strike beacon → credential dumping → lateral movement via WMI → domain admin → disable backups → ransomware deployment</t>
  </si>
  <si>
    <t xml:space="preserve">Enterprise IT / Domain Infrastructure</t>
  </si>
  <si>
    <t xml:space="preserve">Phishing → post-exploitation → credential abuse → ransomware</t>
  </si>
  <si>
    <t xml:space="preserve">Block each kill chain stage: email filtering, macro policy, EDR detection, credential hardening (LAPS/gMSA), network segmentation, backup protection, AD tiering</t>
  </si>
  <si>
    <t xml:space="preserve">NIST CSF / MITRE ATT&amp;CK</t>
  </si>
  <si>
    <t xml:space="preserve">Map defenses to each kill chain stage — a gap at any stage can result in full compromise</t>
  </si>
  <si>
    <t xml:space="preserve">IT-VI-015</t>
  </si>
  <si>
    <t xml:space="preserve">Cloud Account Takeover via Credential Stuffing</t>
  </si>
  <si>
    <t xml:space="preserve">Modeled attack: credential stuffing with breached credentials → MFA fatigue attack → cloud console access → IAM key generation → resource deployment for cryptomining or data exfiltration</t>
  </si>
  <si>
    <t xml:space="preserve">Cloud Accounts / IAM</t>
  </si>
  <si>
    <t xml:space="preserve">Automated credential stuffing; MFA push fatigue; session token hijacking</t>
  </si>
  <si>
    <t xml:space="preserve">Phishing-resistant MFA (FIDO2/hardware keys); number matching for push MFA; anomalous login detection; impossible travel alerting; cloud SIEM integration</t>
  </si>
  <si>
    <t xml:space="preserve">NIST SP 800-63B / CIS Control 6</t>
  </si>
  <si>
    <t xml:space="preserve">CAPEC-560</t>
  </si>
  <si>
    <t xml:space="preserve">MFA fatigue attacks (push bombing) are increasingly used to bypass MFA — FIDO2 keys eliminate this vector</t>
  </si>
  <si>
    <t xml:space="preserve">IT-VI-016</t>
  </si>
  <si>
    <t xml:space="preserve">SQL Injection to Data Breach Attack Tree</t>
  </si>
  <si>
    <t xml:space="preserve">Modeled attack tree: automated SQLi scanning → injection point identification → UNION-based extraction → credential dump → password cracking → account takeover → regulatory breach notification</t>
  </si>
  <si>
    <t xml:space="preserve">Web Application / Database</t>
  </si>
  <si>
    <t xml:space="preserve">SQL injection; NoSQL injection; blind SQLi</t>
  </si>
  <si>
    <t xml:space="preserve">Parameterized queries everywhere; WAF with SQLi ruleset; DAST in CI/CD pipeline; DB activity monitoring; least-privilege DB accounts; data masking in non-production</t>
  </si>
  <si>
    <t xml:space="preserve">OWASP Top 10 A03 / NIST SP 800-53 SI-10</t>
  </si>
  <si>
    <t xml:space="preserve">SQLi remains in OWASP Top 10 after 20 years; parameterized queries are a complete prevention if applied consistently</t>
  </si>
  <si>
    <t xml:space="preserve">IT-VII-017</t>
  </si>
  <si>
    <t xml:space="preserve">Data Breach Regulatory and Financial Impact</t>
  </si>
  <si>
    <t xml:space="preserve">Highest business impact IT scenario: large-scale PII breach triggering GDPR/CCPA notification, regulatory fines (up to 4% global revenue), class action litigation, and reputational damage</t>
  </si>
  <si>
    <t xml:space="preserve">Customer PII / Financial Data</t>
  </si>
  <si>
    <t xml:space="preserve">Exploitation of any vulnerability resulting in PII access</t>
  </si>
  <si>
    <t xml:space="preserve">Data minimization; encryption of PII at rest and in transit; DLP; privacy impact assessments; breach response plan with legal counsel; cyber insurance</t>
  </si>
  <si>
    <t xml:space="preserve">GDPR / CCPA / NIST Privacy Framework</t>
  </si>
  <si>
    <t xml:space="preserve">GDPR fines have exceeded €1B for single incidents; privacy-by-design is the most effective mitigation</t>
  </si>
  <si>
    <t xml:space="preserve">IT-VII-018</t>
  </si>
  <si>
    <t xml:space="preserve">Critical SaaS Platform Extended Outage</t>
  </si>
  <si>
    <t xml:space="preserve">Extended outage of business-critical SaaS platforms (ERP, CRM, collaboration) due to ransomware or DDoS causes operational disruption exceeding RTO/RPO objectives</t>
  </si>
  <si>
    <t xml:space="preserve">SaaS Platforms / Business Operations</t>
  </si>
  <si>
    <t xml:space="preserve">Ransomware on SaaS-integrated systems; DDoS on SaaS provider; credential compromise</t>
  </si>
  <si>
    <t xml:space="preserve">SaaS resilience assessment; data export and backup from SaaS; documented manual fallback procedures; SaaS provider SLA review; vendor security assessments</t>
  </si>
  <si>
    <t xml:space="preserve">NIST CSF RC.RP-1 / ISO 22301</t>
  </si>
  <si>
    <t xml:space="preserve">Organizations are increasingly dependent on SaaS with limited control over availability — resilience planning is essential</t>
  </si>
  <si>
    <t xml:space="preserve">IT-VII-019</t>
  </si>
  <si>
    <t xml:space="preserve">M&amp;A Due Diligence — Inherited Cyber Risk Materialization</t>
  </si>
  <si>
    <t xml:space="preserve">Acquiring organization inherits critical cyber vulnerabilities from acquired company that were not disclosed or discovered in due diligence, resulting in breach of combined entity post-merger</t>
  </si>
  <si>
    <t xml:space="preserve">Acquired Entity IT Environment</t>
  </si>
  <si>
    <t xml:space="preserve">Pre-existing vulnerabilities, malware, or backdoors in acquired environment</t>
  </si>
  <si>
    <t xml:space="preserve">Cyber due diligence as M&amp;A requirement; network isolation of acquired entity post-close; security baseline assessment within 90 days; integration security roadmap</t>
  </si>
  <si>
    <t xml:space="preserve">NIST CSF ID.RA-1 / SEC Cybersecurity Rules</t>
  </si>
  <si>
    <t xml:space="preserve">Marriott's Starwood breach originated in systems acquired without cyber due diligence — $124M fine</t>
  </si>
  <si>
    <t xml:space="preserve">PASTA Threat Register — 🔵 Shared Threats</t>
  </si>
  <si>
    <t xml:space="preserve">SH-I-001</t>
  </si>
  <si>
    <t xml:space="preserve">Business Continuity Disruption Across IT and OT</t>
  </si>
  <si>
    <t xml:space="preserve">Coordinated attack targets both IT business systems and OT process control simultaneously, exceeding organizational recovery capabilities and causing extended operational shutdown</t>
  </si>
  <si>
    <t xml:space="preserve">IT/OT Combined Operations</t>
  </si>
  <si>
    <t xml:space="preserve">Coordinated multi-vector attack leveraging both IT phishing and OT protocol exploitation</t>
  </si>
  <si>
    <t xml:space="preserve">Integrated IT/OT incident response plan; independent OT and IT recovery capability; tested cross-domain tabletop exercises; cyber crisis management team</t>
  </si>
  <si>
    <t xml:space="preserve">NIST CSF RC.RP-1 / IEC 62443-2-1</t>
  </si>
  <si>
    <t xml:space="preserve">Most organizations prepare IT and OT resilience independently — integrated planning is the gap</t>
  </si>
  <si>
    <t xml:space="preserve">SH-II-002</t>
  </si>
  <si>
    <t xml:space="preserve">Dual-Homed Host as Cross-Domain Pivot</t>
  </si>
  <si>
    <t xml:space="preserve">Host with simultaneous connections to both IT and OT networks (historian, jump server, data aggregator) identified through network reconnaissance and used as cross-domain pivot point</t>
  </si>
  <si>
    <t xml:space="preserve">Dual-Homed Hosts / Historians</t>
  </si>
  <si>
    <t xml:space="preserve">Compromise of dual-homed host → OT network access</t>
  </si>
  <si>
    <t xml:space="preserve">Eliminate all dual-homed hosts; enforce strict network separation; where dual-homed is operationally required, apply enhanced monitoring and hardening</t>
  </si>
  <si>
    <t xml:space="preserve">Dual-homed hosts are the most common IT-to-OT lateral movement enabler found in assessments</t>
  </si>
  <si>
    <t xml:space="preserve">SH-III-003</t>
  </si>
  <si>
    <t xml:space="preserve">Shared Authentication Infrastructure Compromise</t>
  </si>
  <si>
    <t xml:space="preserve">Identity infrastructure shared between IT and OT environments (shared Active Directory, RADIUS server) compromised, giving attacker authentication to both domains simultaneously</t>
  </si>
  <si>
    <t xml:space="preserve">Shared Active Directory / RADIUS</t>
  </si>
  <si>
    <t xml:space="preserve">AD domain compromise → OT authentication bypass</t>
  </si>
  <si>
    <t xml:space="preserve">Separate OT authentication infrastructure from IT AD; dedicated OT domain or local authentication; OT-specific PAM; monitor cross-domain authentication events</t>
  </si>
  <si>
    <t xml:space="preserve">IEC 62443-3-3 SR 1.1 / NIST SP 800-82</t>
  </si>
  <si>
    <t xml:space="preserve">Shared AD between IT and OT is a systemic architectural risk — separation is the recommended control</t>
  </si>
  <si>
    <t xml:space="preserve">SH-IV-004</t>
  </si>
  <si>
    <t xml:space="preserve">Third-Party Vendor as Threat Vector (IT and OT)</t>
  </si>
  <si>
    <t xml:space="preserve">Trusted vendor with access to both IT and OT environments is compromised, providing attacker with legitimate credentials and access paths into both domains simultaneously</t>
  </si>
  <si>
    <t xml:space="preserve">Vendor Access / Third-Party Systems</t>
  </si>
  <si>
    <t xml:space="preserve">Vendor credential compromise; supply chain software compromise</t>
  </si>
  <si>
    <t xml:space="preserve">Vendor risk management program covering IT and OT access; JIT/JEA for all vendor access; MFA; session recording; continuous vendor monitoring; contract security requirements</t>
  </si>
  <si>
    <t xml:space="preserve">IEC 62443-2-4 / NIST SP 800-161</t>
  </si>
  <si>
    <t xml:space="preserve">SolarWinds demonstrated the cascading impact of trusted vendor compromise — both IT and OT customers were affected</t>
  </si>
  <si>
    <t xml:space="preserve">SH-IV-005</t>
  </si>
  <si>
    <t xml:space="preserve">Coordinated Phishing Campaign Targeting OT and IT Staff</t>
  </si>
  <si>
    <t xml:space="preserve">Sophisticated spear-phishing campaign simultaneously targets IT administrators and OT engineers with role-specific lures, maximizing likelihood of at least one successful credential compromise</t>
  </si>
  <si>
    <t xml:space="preserve">IT and OT Personnel</t>
  </si>
  <si>
    <t xml:space="preserve">Targeted spear-phishing; credential harvesting; watering hole attacks</t>
  </si>
  <si>
    <t xml:space="preserve">Security awareness training tailored for both IT and OT roles; phishing simulation program; MFA on all accounts; email security gateway; OT-specific threat intelligence sharing</t>
  </si>
  <si>
    <t xml:space="preserve">IEC 62443-2-1 / NIST CSF PR.AT-1</t>
  </si>
  <si>
    <t xml:space="preserve">Personnel are the common thread across IT and OT — training programs must address both contexts</t>
  </si>
  <si>
    <t xml:space="preserve">SH-V-006</t>
  </si>
  <si>
    <t xml:space="preserve">Unmonitored Cross-Domain Network Traffic</t>
  </si>
  <si>
    <t xml:space="preserve">Lack of network traffic visibility at the IT/OT boundary creates blind spots where attacker lateral movement, data exfiltration, or command-and-control traffic goes undetected for extended periods</t>
  </si>
  <si>
    <t xml:space="preserve">IT/OT Network Boundary</t>
  </si>
  <si>
    <t xml:space="preserve">Encrypted C2 traffic; protocol tunneling; legitimate protocol abuse</t>
  </si>
  <si>
    <t xml:space="preserve">Network Traffic Analysis (NTA) at IT/OT boundary; OT-aware NDR (Dragos, Claroty, Nozomi); SIEM correlation of IT and OT events; anomaly detection on cross-boundary flows</t>
  </si>
  <si>
    <t xml:space="preserve">IEC 62443-3-3 SR 6.2 / NIST SP 800-82</t>
  </si>
  <si>
    <t xml:space="preserve">Unified visibility across IT and OT is the most common security gap identified in ICS assessments</t>
  </si>
  <si>
    <t xml:space="preserve">SH-VI-007</t>
  </si>
  <si>
    <t xml:space="preserve">Full Kill Chain: Phishing to Physical Impact</t>
  </si>
  <si>
    <t xml:space="preserve">End-to-end modeled attack: spear-phishing IT user → domain compromise → historian pivot → SCADA access → PLC manipulation → safety system bypass → physical process damage</t>
  </si>
  <si>
    <t xml:space="preserve">Enterprise IT → OT → Physical Process</t>
  </si>
  <si>
    <t xml:space="preserve">Multi-stage kill chain crossing IT/OT boundary</t>
  </si>
  <si>
    <t xml:space="preserve">Defense-in-depth at every kill chain stage; IT/OT segmentation as critical chokepoint; OT behavioral detection; independent physical safety systems; cyber-physical impact assessment</t>
  </si>
  <si>
    <t xml:space="preserve">This kill chain is documented in MITRE ATT&amp;CK for ICS and has been executed in real-world incidents</t>
  </si>
  <si>
    <t xml:space="preserve">SH-VI-008</t>
  </si>
  <si>
    <t xml:space="preserve">Supply Chain Attack Propagating to IT and OT</t>
  </si>
  <si>
    <t xml:space="preserve">Compromised software update from shared vendor (SCADA vendor, IT security tool) deploys malware that propagates across both IT and OT environments simultaneously</t>
  </si>
  <si>
    <t xml:space="preserve">Software Supply Chain / IT and OT Systems</t>
  </si>
  <si>
    <t xml:space="preserve">Trojanized software update; build system compromise</t>
  </si>
  <si>
    <t xml:space="preserve">Separate update mechanisms for IT and OT; software signing verification; update staging and testing; network segmentation limiting blast radius; supply chain threat intelligence</t>
  </si>
  <si>
    <t xml:space="preserve">Kaseya VSA attack affected both IT and OT customers of MSPs — supply chain blast radius is difficult to scope</t>
  </si>
  <si>
    <t xml:space="preserve">SH-VII-009</t>
  </si>
  <si>
    <t xml:space="preserve">Cascading IT/OT Failure — Maximum Business Impact</t>
  </si>
  <si>
    <t xml:space="preserve">Worst-case risk scenario: simultaneous IT business system outage and OT process shutdown causes regulatory reporting failure, environmental release, financial losses, and reputational damage</t>
  </si>
  <si>
    <t xml:space="preserve">Enterprise-Wide IT and OT</t>
  </si>
  <si>
    <t xml:space="preserve">Coordinated multi-domain attack or cascading failure from single entry point</t>
  </si>
  <si>
    <t xml:space="preserve">Enterprise risk quantification (FAIR model); integrated BCP/DRP covering IT and OT; crisis communication plan; regulatory notification procedures; board-level cyber risk reporting</t>
  </si>
  <si>
    <t xml:space="preserve">IEC 62443-2-1 / NIST CSF ID.RA-4</t>
  </si>
  <si>
    <t xml:space="preserve">PASTA Stage VII explicitly requires business impact quantification — FAIR model recommended for financial risk expression</t>
  </si>
  <si>
    <t xml:space="preserve">SH-VII-010</t>
  </si>
  <si>
    <t xml:space="preserve">Cyber Insurance Coverage Gap — Uninsured OT Losses</t>
  </si>
  <si>
    <t xml:space="preserve">Cyber insurance policy exclusions (war exclusion, infrastructure exclusion, unencrypted data) result in OT-related cyber losses being uncovered, creating unbudgeted financial exposure</t>
  </si>
  <si>
    <t xml:space="preserve">Cyber Insurance Policy / Financial Risk</t>
  </si>
  <si>
    <t xml:space="preserve">Any covered cyber incident triggering policy exclusion</t>
  </si>
  <si>
    <t xml:space="preserve">Annual cyber insurance coverage review with OT-specific scenarios; legal review of exclusion clauses; supplement with property and business interruption coverage; quantify uninsured exposure</t>
  </si>
  <si>
    <t xml:space="preserve">NIST CSF ID.RA-4 / FAIR Model</t>
  </si>
  <si>
    <t xml:space="preserve">CAPEC-N/A</t>
  </si>
  <si>
    <t xml:space="preserve">Lloyd's attribution-based war exclusion and infrastructure exclusion clauses are actively litigated — legal review is essential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</si>
</sst>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7B00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92D050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A2B4A"/>
      <name val="Arial"/>
      <family val="0"/>
      <charset val="1"/>
    </font>
    <font>
      <sz val="9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2B4A"/>
        <bgColor rgb="FF2D3A7B"/>
      </patternFill>
    </fill>
    <fill>
      <patternFill patternType="solid">
        <fgColor rgb="FF2D3A7B"/>
        <bgColor rgb="FF1F4E79"/>
      </patternFill>
    </fill>
    <fill>
      <patternFill patternType="solid">
        <fgColor rgb="FF1F4E79"/>
        <bgColor rgb="FF2D3A7B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  <fill>
      <patternFill patternType="solid">
        <fgColor rgb="FF2E75B6"/>
        <bgColor rgb="FF2E86AB"/>
      </patternFill>
    </fill>
    <fill>
      <patternFill patternType="solid">
        <fgColor rgb="FF2E86AB"/>
        <bgColor rgb="FF2E75B6"/>
      </patternFill>
    </fill>
    <fill>
      <patternFill patternType="solid">
        <fgColor rgb="FFC55A11"/>
        <bgColor rgb="FF856404"/>
      </patternFill>
    </fill>
    <fill>
      <patternFill patternType="solid">
        <fgColor rgb="FF843C0C"/>
        <bgColor rgb="FF7B2D2D"/>
      </patternFill>
    </fill>
    <fill>
      <patternFill patternType="solid">
        <fgColor rgb="FF7B2D2D"/>
        <bgColor rgb="FF721C24"/>
      </patternFill>
    </fill>
    <fill>
      <patternFill patternType="solid">
        <fgColor rgb="FF375623"/>
        <bgColor rgb="FF1A4A2B"/>
      </patternFill>
    </fill>
    <fill>
      <patternFill patternType="solid">
        <fgColor rgb="FFD4EDDA"/>
        <bgColor rgb="FFCCF5D4"/>
      </patternFill>
    </fill>
    <fill>
      <patternFill patternType="solid">
        <fgColor rgb="FFFFF3CD"/>
        <bgColor rgb="FFFFF9C4"/>
      </patternFill>
    </fill>
    <fill>
      <patternFill patternType="solid">
        <fgColor rgb="FFF8D7DA"/>
        <bgColor rgb="FFF5CCCC"/>
      </patternFill>
    </fill>
    <fill>
      <patternFill patternType="solid">
        <fgColor rgb="FFE0E0E0"/>
        <bgColor rgb="FFE5E9FA"/>
      </patternFill>
    </fill>
    <fill>
      <patternFill patternType="solid">
        <fgColor rgb="FFFAE5E5"/>
        <bgColor rgb="FFF8D7DA"/>
      </patternFill>
    </fill>
    <fill>
      <patternFill patternType="solid">
        <fgColor rgb="FF1A4A2B"/>
        <bgColor rgb="FF155724"/>
      </patternFill>
    </fill>
    <fill>
      <patternFill patternType="solid">
        <fgColor rgb="FFE5FAE9"/>
        <bgColor rgb="FFF7F7F7"/>
      </patternFill>
    </fill>
    <fill>
      <patternFill patternType="solid">
        <fgColor rgb="FFE5E9FA"/>
        <bgColor rgb="FFE0E0E0"/>
      </patternFill>
    </fill>
    <fill>
      <patternFill patternType="solid">
        <fgColor rgb="FFFFF9C4"/>
        <bgColor rgb="FFFFF3CD"/>
      </patternFill>
    </fill>
    <fill>
      <patternFill patternType="solid">
        <fgColor rgb="FFFF7B00"/>
        <bgColor rgb="FFFF9900"/>
      </patternFill>
    </fill>
    <fill>
      <patternFill patternType="solid">
        <fgColor rgb="FFF5CCCC"/>
        <bgColor rgb="FFF8D7DA"/>
      </patternFill>
    </fill>
    <fill>
      <patternFill patternType="solid">
        <fgColor rgb="FFFF0000"/>
        <bgColor rgb="FF800000"/>
      </patternFill>
    </fill>
    <fill>
      <patternFill patternType="solid">
        <fgColor rgb="FFCCF5D4"/>
        <bgColor rgb="FFD4EDDA"/>
      </patternFill>
    </fill>
    <fill>
      <patternFill patternType="solid">
        <fgColor rgb="FFCCD0F5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5572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56404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721C24"/>
        <sz val="9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AE5E5"/>
      <rgbColor rgb="FFFF00FF"/>
      <rgbColor rgb="FF00FFFF"/>
      <rgbColor rgb="FF721C24"/>
      <rgbColor rgb="FF375623"/>
      <rgbColor rgb="FF000080"/>
      <rgbColor rgb="FF856404"/>
      <rgbColor rgb="FF800080"/>
      <rgbColor rgb="FF008080"/>
      <rgbColor rgb="FFCCCCCC"/>
      <rgbColor rgb="FF888888"/>
      <rgbColor rgb="FF9999FF"/>
      <rgbColor rgb="FF7B2D2D"/>
      <rgbColor rgb="FFFFF9C4"/>
      <rgbColor rgb="FFE5FAE9"/>
      <rgbColor rgb="FF660066"/>
      <rgbColor rgb="FFFF8080"/>
      <rgbColor rgb="FF0066CC"/>
      <rgbColor rgb="FFCCD0F5"/>
      <rgbColor rgb="FF000080"/>
      <rgbColor rgb="FFFF00FF"/>
      <rgbColor rgb="FFF7F7F7"/>
      <rgbColor rgb="FF00FFFF"/>
      <rgbColor rgb="FF800080"/>
      <rgbColor rgb="FF800000"/>
      <rgbColor rgb="FF008080"/>
      <rgbColor rgb="FF0000FF"/>
      <rgbColor rgb="FF00CCFF"/>
      <rgbColor rgb="FFD4EDDA"/>
      <rgbColor rgb="FFCCF5D4"/>
      <rgbColor rgb="FFFFF3CD"/>
      <rgbColor rgb="FFE0E0E0"/>
      <rgbColor rgb="FFF8D7DA"/>
      <rgbColor rgb="FFE5E9FA"/>
      <rgbColor rgb="FFF5CCCC"/>
      <rgbColor rgb="FF2E75B6"/>
      <rgbColor rgb="FF33CCCC"/>
      <rgbColor rgb="FF92D050"/>
      <rgbColor rgb="FFFFC000"/>
      <rgbColor rgb="FFFF9900"/>
      <rgbColor rgb="FFFF7B00"/>
      <rgbColor rgb="FF444444"/>
      <rgbColor rgb="FF969696"/>
      <rgbColor rgb="FF1F4E79"/>
      <rgbColor rgb="FF2E86AB"/>
      <rgbColor rgb="FF155724"/>
      <rgbColor rgb="FF1A4A2B"/>
      <rgbColor rgb="FF843C0C"/>
      <rgbColor rgb="FFC55A11"/>
      <rgbColor rgb="FF2D3A7B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5" min="4" style="0" width="20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9.75" hidden="false" customHeight="true" outlineLevel="0" collapsed="false"/>
    <row r="5" customFormat="false" ht="19.5" hidden="false" customHeight="true" outlineLevel="0" collapsed="false">
      <c r="B5" s="3" t="s">
        <v>2</v>
      </c>
      <c r="C5" s="3" t="s">
        <v>3</v>
      </c>
      <c r="D5" s="3" t="s">
        <v>4</v>
      </c>
      <c r="E5" s="3"/>
    </row>
    <row r="6" customFormat="false" ht="31.5" hidden="false" customHeight="true" outlineLevel="0" collapsed="false">
      <c r="B6" s="4" t="s">
        <v>5</v>
      </c>
      <c r="C6" s="5" t="s">
        <v>6</v>
      </c>
      <c r="D6" s="6" t="s">
        <v>7</v>
      </c>
      <c r="E6" s="6"/>
    </row>
    <row r="7" customFormat="false" ht="31.5" hidden="false" customHeight="true" outlineLevel="0" collapsed="false">
      <c r="B7" s="7" t="s">
        <v>8</v>
      </c>
      <c r="C7" s="5" t="s">
        <v>9</v>
      </c>
      <c r="D7" s="6" t="s">
        <v>10</v>
      </c>
      <c r="E7" s="6"/>
    </row>
    <row r="8" customFormat="false" ht="31.5" hidden="false" customHeight="true" outlineLevel="0" collapsed="false">
      <c r="B8" s="8" t="s">
        <v>11</v>
      </c>
      <c r="C8" s="5" t="s">
        <v>12</v>
      </c>
      <c r="D8" s="6" t="s">
        <v>13</v>
      </c>
      <c r="E8" s="6"/>
    </row>
    <row r="9" customFormat="false" ht="31.5" hidden="false" customHeight="true" outlineLevel="0" collapsed="false">
      <c r="B9" s="9" t="s">
        <v>14</v>
      </c>
      <c r="C9" s="5" t="s">
        <v>15</v>
      </c>
      <c r="D9" s="6" t="s">
        <v>16</v>
      </c>
      <c r="E9" s="6"/>
    </row>
    <row r="10" customFormat="false" ht="31.5" hidden="false" customHeight="true" outlineLevel="0" collapsed="false">
      <c r="B10" s="10" t="s">
        <v>17</v>
      </c>
      <c r="C10" s="5" t="s">
        <v>18</v>
      </c>
      <c r="D10" s="6" t="s">
        <v>19</v>
      </c>
      <c r="E10" s="6"/>
    </row>
    <row r="11" customFormat="false" ht="31.5" hidden="false" customHeight="true" outlineLevel="0" collapsed="false">
      <c r="B11" s="11" t="s">
        <v>20</v>
      </c>
      <c r="C11" s="5" t="s">
        <v>21</v>
      </c>
      <c r="D11" s="6" t="s">
        <v>22</v>
      </c>
      <c r="E11" s="6"/>
    </row>
    <row r="12" customFormat="false" ht="31.5" hidden="false" customHeight="true" outlineLevel="0" collapsed="false">
      <c r="B12" s="12" t="s">
        <v>23</v>
      </c>
      <c r="C12" s="5" t="s">
        <v>24</v>
      </c>
      <c r="D12" s="6" t="s">
        <v>25</v>
      </c>
      <c r="E12" s="6"/>
    </row>
    <row r="13" customFormat="false" ht="9.75" hidden="false" customHeight="true" outlineLevel="0" collapsed="false"/>
    <row r="14" customFormat="false" ht="19.5" hidden="false" customHeight="true" outlineLevel="0" collapsed="false">
      <c r="B14" s="3" t="s">
        <v>26</v>
      </c>
      <c r="C14" s="3" t="s">
        <v>27</v>
      </c>
      <c r="D14" s="13" t="s">
        <v>28</v>
      </c>
      <c r="E14" s="13"/>
    </row>
    <row r="15" customFormat="false" ht="19.5" hidden="false" customHeight="true" outlineLevel="0" collapsed="false">
      <c r="B15" s="14" t="s">
        <v>29</v>
      </c>
      <c r="C15" s="5" t="s">
        <v>30</v>
      </c>
      <c r="D15" s="15" t="s">
        <v>31</v>
      </c>
      <c r="E15" s="15"/>
    </row>
    <row r="16" customFormat="false" ht="19.5" hidden="false" customHeight="true" outlineLevel="0" collapsed="false">
      <c r="B16" s="16" t="s">
        <v>32</v>
      </c>
      <c r="C16" s="5" t="s">
        <v>33</v>
      </c>
      <c r="D16" s="15" t="s">
        <v>31</v>
      </c>
      <c r="E16" s="15"/>
    </row>
    <row r="17" customFormat="false" ht="19.5" hidden="false" customHeight="true" outlineLevel="0" collapsed="false">
      <c r="B17" s="17" t="s">
        <v>34</v>
      </c>
      <c r="C17" s="5" t="s">
        <v>35</v>
      </c>
      <c r="D17" s="15" t="s">
        <v>31</v>
      </c>
      <c r="E17" s="15"/>
    </row>
    <row r="18" customFormat="false" ht="19.5" hidden="false" customHeight="true" outlineLevel="0" collapsed="false">
      <c r="B18" s="18" t="s">
        <v>36</v>
      </c>
      <c r="C18" s="5" t="s">
        <v>37</v>
      </c>
      <c r="D18" s="15" t="s">
        <v>31</v>
      </c>
      <c r="E18" s="15"/>
    </row>
    <row r="20" customFormat="false" ht="9.75" hidden="false" customHeight="true" outlineLevel="0" collapsed="false"/>
    <row r="21" customFormat="false" ht="19.5" hidden="false" customHeight="true" outlineLevel="0" collapsed="false">
      <c r="B21" s="3" t="s">
        <v>38</v>
      </c>
      <c r="C21" s="3" t="s">
        <v>39</v>
      </c>
    </row>
    <row r="22" customFormat="false" ht="19.5" hidden="false" customHeight="true" outlineLevel="0" collapsed="false">
      <c r="B22" s="11" t="s">
        <v>40</v>
      </c>
      <c r="C22" s="19" t="s">
        <v>41</v>
      </c>
    </row>
    <row r="23" customFormat="false" ht="19.5" hidden="false" customHeight="true" outlineLevel="0" collapsed="false">
      <c r="B23" s="20" t="s">
        <v>42</v>
      </c>
      <c r="C23" s="21" t="s">
        <v>43</v>
      </c>
    </row>
    <row r="24" customFormat="false" ht="19.5" hidden="false" customHeight="true" outlineLevel="0" collapsed="false">
      <c r="B24" s="22" t="s">
        <v>44</v>
      </c>
      <c r="C24" s="23" t="s">
        <v>45</v>
      </c>
    </row>
    <row r="26" customFormat="false" ht="9.75" hidden="false" customHeight="true" outlineLevel="0" collapsed="false"/>
    <row r="27" customFormat="false" ht="19.5" hidden="false" customHeight="true" outlineLevel="0" collapsed="false">
      <c r="B27" s="3" t="s">
        <v>46</v>
      </c>
      <c r="C27" s="24"/>
      <c r="D27" s="24"/>
      <c r="E27" s="24"/>
    </row>
    <row r="28" customFormat="false" ht="18" hidden="false" customHeight="true" outlineLevel="0" collapsed="false">
      <c r="B28" s="25" t="s">
        <v>47</v>
      </c>
      <c r="C28" s="6" t="s">
        <v>48</v>
      </c>
      <c r="D28" s="6"/>
      <c r="E28" s="6"/>
    </row>
    <row r="29" customFormat="false" ht="18" hidden="false" customHeight="true" outlineLevel="0" collapsed="false">
      <c r="B29" s="25" t="s">
        <v>2</v>
      </c>
      <c r="C29" s="6" t="s">
        <v>49</v>
      </c>
      <c r="D29" s="6"/>
      <c r="E29" s="6"/>
    </row>
    <row r="30" customFormat="false" ht="18" hidden="false" customHeight="true" outlineLevel="0" collapsed="false">
      <c r="B30" s="25" t="s">
        <v>50</v>
      </c>
      <c r="C30" s="6" t="s">
        <v>51</v>
      </c>
      <c r="D30" s="6"/>
      <c r="E30" s="6"/>
    </row>
    <row r="31" customFormat="false" ht="18" hidden="false" customHeight="true" outlineLevel="0" collapsed="false">
      <c r="B31" s="25" t="s">
        <v>52</v>
      </c>
      <c r="C31" s="6" t="s">
        <v>53</v>
      </c>
      <c r="D31" s="6"/>
      <c r="E31" s="6"/>
    </row>
    <row r="32" customFormat="false" ht="18" hidden="false" customHeight="true" outlineLevel="0" collapsed="false">
      <c r="B32" s="25" t="s">
        <v>54</v>
      </c>
      <c r="C32" s="6" t="s">
        <v>55</v>
      </c>
      <c r="D32" s="6"/>
      <c r="E32" s="6"/>
    </row>
    <row r="33" customFormat="false" ht="18" hidden="false" customHeight="true" outlineLevel="0" collapsed="false">
      <c r="B33" s="25" t="s">
        <v>56</v>
      </c>
      <c r="C33" s="6" t="s">
        <v>57</v>
      </c>
      <c r="D33" s="6"/>
      <c r="E33" s="6"/>
    </row>
    <row r="34" customFormat="false" ht="18" hidden="false" customHeight="true" outlineLevel="0" collapsed="false">
      <c r="B34" s="25" t="s">
        <v>58</v>
      </c>
      <c r="C34" s="6" t="s">
        <v>59</v>
      </c>
      <c r="D34" s="6"/>
      <c r="E34" s="6"/>
    </row>
    <row r="35" customFormat="false" ht="18" hidden="false" customHeight="true" outlineLevel="0" collapsed="false">
      <c r="B35" s="25" t="s">
        <v>60</v>
      </c>
      <c r="C35" s="6" t="s">
        <v>61</v>
      </c>
      <c r="D35" s="6"/>
      <c r="E35" s="6"/>
    </row>
    <row r="36" customFormat="false" ht="18" hidden="false" customHeight="true" outlineLevel="0" collapsed="false">
      <c r="B36" s="25" t="s">
        <v>62</v>
      </c>
      <c r="C36" s="6" t="s">
        <v>63</v>
      </c>
      <c r="D36" s="6"/>
      <c r="E36" s="6"/>
    </row>
    <row r="37" customFormat="false" ht="18" hidden="false" customHeight="true" outlineLevel="0" collapsed="false">
      <c r="B37" s="25" t="s">
        <v>64</v>
      </c>
      <c r="C37" s="6" t="s">
        <v>65</v>
      </c>
      <c r="D37" s="6"/>
      <c r="E37" s="6"/>
    </row>
    <row r="38" customFormat="false" ht="18" hidden="false" customHeight="true" outlineLevel="0" collapsed="false">
      <c r="B38" s="25" t="s">
        <v>66</v>
      </c>
      <c r="C38" s="6" t="s">
        <v>67</v>
      </c>
      <c r="D38" s="6"/>
      <c r="E38" s="6"/>
    </row>
    <row r="39" customFormat="false" ht="18" hidden="false" customHeight="true" outlineLevel="0" collapsed="false">
      <c r="B39" s="25" t="s">
        <v>68</v>
      </c>
      <c r="C39" s="6" t="s">
        <v>69</v>
      </c>
      <c r="D39" s="6"/>
      <c r="E39" s="6"/>
    </row>
    <row r="40" customFormat="false" ht="18" hidden="false" customHeight="true" outlineLevel="0" collapsed="false">
      <c r="B40" s="25" t="s">
        <v>70</v>
      </c>
      <c r="C40" s="6" t="s">
        <v>71</v>
      </c>
      <c r="D40" s="6"/>
      <c r="E40" s="6"/>
    </row>
    <row r="41" customFormat="false" ht="18" hidden="false" customHeight="true" outlineLevel="0" collapsed="false">
      <c r="B41" s="25" t="s">
        <v>72</v>
      </c>
      <c r="C41" s="6" t="s">
        <v>73</v>
      </c>
      <c r="D41" s="6"/>
      <c r="E41" s="6"/>
    </row>
    <row r="42" customFormat="false" ht="18" hidden="false" customHeight="true" outlineLevel="0" collapsed="false">
      <c r="B42" s="25" t="s">
        <v>74</v>
      </c>
      <c r="C42" s="6" t="s">
        <v>75</v>
      </c>
      <c r="D42" s="6"/>
      <c r="E42" s="6"/>
    </row>
    <row r="43" customFormat="false" ht="18" hidden="false" customHeight="true" outlineLevel="0" collapsed="false">
      <c r="B43" s="25" t="s">
        <v>76</v>
      </c>
      <c r="C43" s="6" t="s">
        <v>77</v>
      </c>
      <c r="D43" s="6"/>
      <c r="E43" s="6"/>
    </row>
    <row r="44" customFormat="false" ht="18" hidden="false" customHeight="true" outlineLevel="0" collapsed="false">
      <c r="B44" s="25" t="s">
        <v>78</v>
      </c>
      <c r="C44" s="6" t="s">
        <v>79</v>
      </c>
      <c r="D44" s="6"/>
      <c r="E44" s="6"/>
    </row>
    <row r="45" customFormat="false" ht="18" hidden="false" customHeight="true" outlineLevel="0" collapsed="false">
      <c r="B45" s="25" t="s">
        <v>80</v>
      </c>
      <c r="C45" s="6" t="s">
        <v>81</v>
      </c>
      <c r="D45" s="6"/>
      <c r="E45" s="6"/>
    </row>
  </sheetData>
  <mergeCells count="34">
    <mergeCell ref="B2:E2"/>
    <mergeCell ref="B3:E3"/>
    <mergeCell ref="D5:E5"/>
    <mergeCell ref="D6:E6"/>
    <mergeCell ref="D7:E7"/>
    <mergeCell ref="D8:E8"/>
    <mergeCell ref="D9:E9"/>
    <mergeCell ref="D10:E10"/>
    <mergeCell ref="D11:E11"/>
    <mergeCell ref="D12:E12"/>
    <mergeCell ref="D14:E14"/>
    <mergeCell ref="D15:E15"/>
    <mergeCell ref="D16:E16"/>
    <mergeCell ref="D17:E17"/>
    <mergeCell ref="D18:E18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24"/>
  </cols>
  <sheetData>
    <row r="1" customFormat="false" ht="7.5" hidden="false" customHeight="true" outlineLevel="0" collapsed="false"/>
    <row r="2" customFormat="false" ht="33.75" hidden="false" customHeight="true" outlineLevel="0" collapsed="false">
      <c r="B2" s="26" t="s">
        <v>82</v>
      </c>
      <c r="C2" s="26"/>
      <c r="D2" s="26"/>
      <c r="E2" s="26"/>
      <c r="F2" s="26"/>
      <c r="G2" s="26"/>
    </row>
    <row r="3" customFormat="false" ht="7.5" hidden="false" customHeight="true" outlineLevel="0" collapsed="false"/>
    <row r="4" customFormat="false" ht="21.75" hidden="false" customHeight="true" outlineLevel="0" collapsed="false">
      <c r="B4" s="27" t="s">
        <v>83</v>
      </c>
      <c r="C4" s="27"/>
      <c r="D4" s="27"/>
      <c r="E4" s="27"/>
      <c r="F4" s="27"/>
      <c r="G4" s="27"/>
    </row>
    <row r="5" customFormat="false" ht="19.5" hidden="false" customHeight="true" outlineLevel="0" collapsed="false">
      <c r="B5" s="28" t="s">
        <v>84</v>
      </c>
      <c r="C5" s="28" t="s">
        <v>85</v>
      </c>
      <c r="D5" s="28" t="s">
        <v>86</v>
      </c>
      <c r="E5" s="28" t="s">
        <v>87</v>
      </c>
      <c r="F5" s="28" t="s">
        <v>88</v>
      </c>
      <c r="G5" s="28" t="s">
        <v>89</v>
      </c>
    </row>
    <row r="6" customFormat="false" ht="19.5" hidden="false" customHeight="true" outlineLevel="0" collapsed="false">
      <c r="B6" s="29" t="s">
        <v>90</v>
      </c>
      <c r="C6" s="30" t="n">
        <f aca="false">COUNTIF('🔴 OT Threats'!K4:K24,"CRITICAL")</f>
        <v>6</v>
      </c>
      <c r="D6" s="30" t="n">
        <f aca="false">COUNTIF('🔴 OT Threats'!K4:K24,"HIGH")</f>
        <v>15</v>
      </c>
      <c r="E6" s="30" t="n">
        <f aca="false">COUNTIF('🔴 OT Threats'!K4:K24,"MEDIUM")</f>
        <v>0</v>
      </c>
      <c r="F6" s="30" t="n">
        <f aca="false">COUNTIF('🔴 OT Threats'!K4:K24,"LOW")</f>
        <v>0</v>
      </c>
      <c r="G6" s="30" t="n">
        <f aca="false">COUNTA('🔴 OT Threats'!A4:A24)</f>
        <v>21</v>
      </c>
    </row>
    <row r="7" customFormat="false" ht="19.5" hidden="false" customHeight="true" outlineLevel="0" collapsed="false">
      <c r="B7" s="31" t="s">
        <v>91</v>
      </c>
      <c r="C7" s="32" t="n">
        <f aca="false">COUNTIFS('🔴 OT Threats'!K4:K24,"CRITICAL",'🔴 OT Threats'!P4:P24,"YES")</f>
        <v>0</v>
      </c>
      <c r="D7" s="32" t="n">
        <f aca="false">COUNTIFS('🔴 OT Threats'!K4:K24,"HIGH",'🔴 OT Threats'!P4:P24,"YES")</f>
        <v>0</v>
      </c>
      <c r="E7" s="32" t="n">
        <f aca="false">COUNTIFS('🔴 OT Threats'!K4:K24,"MEDIUM",'🔴 OT Threats'!P4:P24,"YES")</f>
        <v>0</v>
      </c>
      <c r="F7" s="32" t="n">
        <f aca="false">COUNTIFS('🔴 OT Threats'!K4:K24,"LOW",'🔴 OT Threats'!P4:P24,"YES")</f>
        <v>0</v>
      </c>
      <c r="G7" s="32" t="n">
        <f aca="false">COUNTIF('🔴 OT Threats'!P4:P24,"YES")</f>
        <v>0</v>
      </c>
    </row>
    <row r="8" customFormat="false" ht="19.5" hidden="false" customHeight="true" outlineLevel="0" collapsed="false">
      <c r="B8" s="29" t="s">
        <v>92</v>
      </c>
      <c r="C8" s="30" t="n">
        <f aca="false">COUNTIFS('🔴 OT Threats'!K4:K24,"CRITICAL",'🔴 OT Threats'!O4:O24,"Implemented")</f>
        <v>0</v>
      </c>
      <c r="D8" s="30" t="n">
        <f aca="false">COUNTIFS('🔴 OT Threats'!K4:K24,"HIGH",'🔴 OT Threats'!O4:O24,"Implemented")</f>
        <v>0</v>
      </c>
      <c r="E8" s="30" t="n">
        <f aca="false">COUNTIFS('🔴 OT Threats'!K4:K24,"MEDIUM",'🔴 OT Threats'!O4:O24,"Implemented")</f>
        <v>0</v>
      </c>
      <c r="F8" s="30" t="n">
        <f aca="false">COUNTIFS('🔴 OT Threats'!K4:K24,"LOW",'🔴 OT Threats'!O4:O24,"Implemented")</f>
        <v>0</v>
      </c>
      <c r="G8" s="30" t="n">
        <f aca="false">COUNTIF('🔴 OT Threats'!O4:O24,"Implemented")</f>
        <v>0</v>
      </c>
    </row>
    <row r="9" customFormat="false" ht="19.5" hidden="false" customHeight="true" outlineLevel="0" collapsed="false">
      <c r="B9" s="31" t="s">
        <v>93</v>
      </c>
      <c r="C9" s="33" t="n">
        <f aca="false">COUNTIFS('🔴 OT Threats'!K4:K24,"CRITICAL",'🔴 OT Threats'!P4:P24,"YES",'🔴 OT Threats'!O4:O24,"None")</f>
        <v>0</v>
      </c>
      <c r="D9" s="34" t="n">
        <f aca="false">COUNTIFS('🔴 OT Threats'!K4:K24,"HIGH",'🔴 OT Threats'!P4:P24,"YES",'🔴 OT Threats'!O4:O24,"None")</f>
        <v>0</v>
      </c>
      <c r="E9" s="35" t="n">
        <f aca="false">COUNTIFS('🔴 OT Threats'!K4:K24,"MEDIUM",'🔴 OT Threats'!P4:P24,"YES",'🔴 OT Threats'!O4:O24,"None")</f>
        <v>0</v>
      </c>
      <c r="F9" s="36" t="n">
        <f aca="false">COUNTIFS('🔴 OT Threats'!K4:K24,"LOW",'🔴 OT Threats'!P4:P24,"YES",'🔴 OT Threats'!O4:O24,"None")</f>
        <v>0</v>
      </c>
      <c r="G9" s="37" t="n">
        <f aca="false">COUNTIFS('🔴 OT Threats'!P4:P24,"YES",'🔴 OT Threats'!O4:O24,"None")</f>
        <v>0</v>
      </c>
    </row>
    <row r="11" customFormat="false" ht="21.75" hidden="false" customHeight="true" outlineLevel="0" collapsed="false">
      <c r="B11" s="38" t="s">
        <v>94</v>
      </c>
      <c r="C11" s="38"/>
      <c r="D11" s="38"/>
      <c r="E11" s="38"/>
      <c r="F11" s="38"/>
      <c r="G11" s="38"/>
    </row>
    <row r="12" customFormat="false" ht="19.5" hidden="false" customHeight="true" outlineLevel="0" collapsed="false">
      <c r="B12" s="28" t="s">
        <v>84</v>
      </c>
      <c r="C12" s="28" t="s">
        <v>85</v>
      </c>
      <c r="D12" s="28" t="s">
        <v>86</v>
      </c>
      <c r="E12" s="28" t="s">
        <v>87</v>
      </c>
      <c r="F12" s="28" t="s">
        <v>88</v>
      </c>
      <c r="G12" s="28" t="s">
        <v>89</v>
      </c>
    </row>
    <row r="13" customFormat="false" ht="19.5" hidden="false" customHeight="true" outlineLevel="0" collapsed="false">
      <c r="B13" s="39" t="s">
        <v>90</v>
      </c>
      <c r="C13" s="40" t="n">
        <f aca="false">COUNTIF('🟢 IT Threats'!K4:K22,"CRITICAL")</f>
        <v>3</v>
      </c>
      <c r="D13" s="40" t="n">
        <f aca="false">COUNTIF('🟢 IT Threats'!K4:K22,"HIGH")</f>
        <v>16</v>
      </c>
      <c r="E13" s="40" t="n">
        <f aca="false">COUNTIF('🟢 IT Threats'!K4:K22,"MEDIUM")</f>
        <v>0</v>
      </c>
      <c r="F13" s="40" t="n">
        <f aca="false">COUNTIF('🟢 IT Threats'!K4:K22,"LOW")</f>
        <v>0</v>
      </c>
      <c r="G13" s="40" t="n">
        <f aca="false">COUNTA('🟢 IT Threats'!A4:A22)</f>
        <v>19</v>
      </c>
    </row>
    <row r="14" customFormat="false" ht="19.5" hidden="false" customHeight="true" outlineLevel="0" collapsed="false">
      <c r="B14" s="31" t="s">
        <v>91</v>
      </c>
      <c r="C14" s="32" t="n">
        <f aca="false">COUNTIFS('🟢 IT Threats'!K4:K22,"CRITICAL",'🟢 IT Threats'!P4:P22,"YES")</f>
        <v>0</v>
      </c>
      <c r="D14" s="32" t="n">
        <f aca="false">COUNTIFS('🟢 IT Threats'!K4:K22,"HIGH",'🟢 IT Threats'!P4:P22,"YES")</f>
        <v>0</v>
      </c>
      <c r="E14" s="32" t="n">
        <f aca="false">COUNTIFS('🟢 IT Threats'!K4:K22,"MEDIUM",'🟢 IT Threats'!P4:P22,"YES")</f>
        <v>0</v>
      </c>
      <c r="F14" s="32" t="n">
        <f aca="false">COUNTIFS('🟢 IT Threats'!K4:K22,"LOW",'🟢 IT Threats'!P4:P22,"YES")</f>
        <v>0</v>
      </c>
      <c r="G14" s="32" t="n">
        <f aca="false">COUNTIF('🟢 IT Threats'!P4:P22,"YES")</f>
        <v>0</v>
      </c>
    </row>
    <row r="15" customFormat="false" ht="19.5" hidden="false" customHeight="true" outlineLevel="0" collapsed="false">
      <c r="B15" s="39" t="s">
        <v>92</v>
      </c>
      <c r="C15" s="40" t="n">
        <f aca="false">COUNTIFS('🟢 IT Threats'!K4:K22,"CRITICAL",'🟢 IT Threats'!O4:O22,"Implemented")</f>
        <v>0</v>
      </c>
      <c r="D15" s="40" t="n">
        <f aca="false">COUNTIFS('🟢 IT Threats'!K4:K22,"HIGH",'🟢 IT Threats'!O4:O22,"Implemented")</f>
        <v>0</v>
      </c>
      <c r="E15" s="40" t="n">
        <f aca="false">COUNTIFS('🟢 IT Threats'!K4:K22,"MEDIUM",'🟢 IT Threats'!O4:O22,"Implemented")</f>
        <v>0</v>
      </c>
      <c r="F15" s="40" t="n">
        <f aca="false">COUNTIFS('🟢 IT Threats'!K4:K22,"LOW",'🟢 IT Threats'!O4:O22,"Implemented")</f>
        <v>0</v>
      </c>
      <c r="G15" s="40" t="n">
        <f aca="false">COUNTIF('🟢 IT Threats'!O4:O22,"Implemented")</f>
        <v>0</v>
      </c>
    </row>
    <row r="16" customFormat="false" ht="19.5" hidden="false" customHeight="true" outlineLevel="0" collapsed="false">
      <c r="B16" s="31" t="s">
        <v>93</v>
      </c>
      <c r="C16" s="33" t="n">
        <f aca="false">COUNTIFS('🟢 IT Threats'!K4:K22,"CRITICAL",'🟢 IT Threats'!P4:P22,"YES",'🟢 IT Threats'!O4:O22,"None")</f>
        <v>0</v>
      </c>
      <c r="D16" s="34" t="n">
        <f aca="false">COUNTIFS('🟢 IT Threats'!K4:K22,"HIGH",'🟢 IT Threats'!P4:P22,"YES",'🟢 IT Threats'!O4:O22,"None")</f>
        <v>0</v>
      </c>
      <c r="E16" s="35" t="n">
        <f aca="false">COUNTIFS('🟢 IT Threats'!K4:K22,"MEDIUM",'🟢 IT Threats'!P4:P22,"YES",'🟢 IT Threats'!O4:O22,"None")</f>
        <v>0</v>
      </c>
      <c r="F16" s="36" t="n">
        <f aca="false">COUNTIFS('🟢 IT Threats'!K4:K22,"LOW",'🟢 IT Threats'!P4:P22,"YES",'🟢 IT Threats'!O4:O22,"None")</f>
        <v>0</v>
      </c>
      <c r="G16" s="37" t="n">
        <f aca="false">COUNTIFS('🟢 IT Threats'!P4:P22,"YES",'🟢 IT Threats'!O4:O22,"None")</f>
        <v>0</v>
      </c>
    </row>
    <row r="18" customFormat="false" ht="21.75" hidden="false" customHeight="true" outlineLevel="0" collapsed="false">
      <c r="B18" s="41" t="s">
        <v>95</v>
      </c>
      <c r="C18" s="41"/>
      <c r="D18" s="41"/>
      <c r="E18" s="41"/>
      <c r="F18" s="41"/>
      <c r="G18" s="41"/>
    </row>
    <row r="19" customFormat="false" ht="19.5" hidden="false" customHeight="true" outlineLevel="0" collapsed="false">
      <c r="B19" s="28" t="s">
        <v>84</v>
      </c>
      <c r="C19" s="28" t="s">
        <v>85</v>
      </c>
      <c r="D19" s="28" t="s">
        <v>86</v>
      </c>
      <c r="E19" s="28" t="s">
        <v>87</v>
      </c>
      <c r="F19" s="28" t="s">
        <v>88</v>
      </c>
      <c r="G19" s="28" t="s">
        <v>89</v>
      </c>
    </row>
    <row r="20" customFormat="false" ht="19.5" hidden="false" customHeight="true" outlineLevel="0" collapsed="false">
      <c r="B20" s="42" t="s">
        <v>90</v>
      </c>
      <c r="C20" s="43" t="n">
        <f aca="false">COUNTIF('🔵 Shared Threats'!K4:K13,"CRITICAL")</f>
        <v>2</v>
      </c>
      <c r="D20" s="43" t="n">
        <f aca="false">COUNTIF('🔵 Shared Threats'!K4:K13,"HIGH")</f>
        <v>8</v>
      </c>
      <c r="E20" s="43" t="n">
        <f aca="false">COUNTIF('🔵 Shared Threats'!K4:K13,"MEDIUM")</f>
        <v>0</v>
      </c>
      <c r="F20" s="43" t="n">
        <f aca="false">COUNTIF('🔵 Shared Threats'!K4:K13,"LOW")</f>
        <v>0</v>
      </c>
      <c r="G20" s="43" t="n">
        <f aca="false">COUNTA('🔵 Shared Threats'!A4:A13)</f>
        <v>10</v>
      </c>
    </row>
    <row r="21" customFormat="false" ht="19.5" hidden="false" customHeight="true" outlineLevel="0" collapsed="false">
      <c r="B21" s="31" t="s">
        <v>91</v>
      </c>
      <c r="C21" s="32" t="n">
        <f aca="false">COUNTIFS('🔵 Shared Threats'!K4:K13,"CRITICAL",'🔵 Shared Threats'!P4:P13,"YES")</f>
        <v>0</v>
      </c>
      <c r="D21" s="32" t="n">
        <f aca="false">COUNTIFS('🔵 Shared Threats'!K4:K13,"HIGH",'🔵 Shared Threats'!P4:P13,"YES")</f>
        <v>0</v>
      </c>
      <c r="E21" s="32" t="n">
        <f aca="false">COUNTIFS('🔵 Shared Threats'!K4:K13,"MEDIUM",'🔵 Shared Threats'!P4:P13,"YES")</f>
        <v>0</v>
      </c>
      <c r="F21" s="32" t="n">
        <f aca="false">COUNTIFS('🔵 Shared Threats'!K4:K13,"LOW",'🔵 Shared Threats'!P4:P13,"YES")</f>
        <v>0</v>
      </c>
      <c r="G21" s="32" t="n">
        <f aca="false">COUNTIF('🔵 Shared Threats'!P4:P13,"YES")</f>
        <v>0</v>
      </c>
    </row>
    <row r="22" customFormat="false" ht="19.5" hidden="false" customHeight="true" outlineLevel="0" collapsed="false">
      <c r="B22" s="42" t="s">
        <v>92</v>
      </c>
      <c r="C22" s="43" t="n">
        <f aca="false">COUNTIFS('🔵 Shared Threats'!K4:K13,"CRITICAL",'🔵 Shared Threats'!O4:O13,"Implemented")</f>
        <v>0</v>
      </c>
      <c r="D22" s="43" t="n">
        <f aca="false">COUNTIFS('🔵 Shared Threats'!K4:K13,"HIGH",'🔵 Shared Threats'!O4:O13,"Implemented")</f>
        <v>0</v>
      </c>
      <c r="E22" s="43" t="n">
        <f aca="false">COUNTIFS('🔵 Shared Threats'!K4:K13,"MEDIUM",'🔵 Shared Threats'!O4:O13,"Implemented")</f>
        <v>0</v>
      </c>
      <c r="F22" s="43" t="n">
        <f aca="false">COUNTIFS('🔵 Shared Threats'!K4:K13,"LOW",'🔵 Shared Threats'!O4:O13,"Implemented")</f>
        <v>0</v>
      </c>
      <c r="G22" s="43" t="n">
        <f aca="false">COUNTIF('🔵 Shared Threats'!O4:O13,"Implemented")</f>
        <v>0</v>
      </c>
    </row>
    <row r="23" customFormat="false" ht="19.5" hidden="false" customHeight="true" outlineLevel="0" collapsed="false">
      <c r="B23" s="31" t="s">
        <v>93</v>
      </c>
      <c r="C23" s="33" t="n">
        <f aca="false">COUNTIFS('🔵 Shared Threats'!K4:K13,"CRITICAL",'🔵 Shared Threats'!P4:P13,"YES",'🔵 Shared Threats'!O4:O13,"None")</f>
        <v>0</v>
      </c>
      <c r="D23" s="34" t="n">
        <f aca="false">COUNTIFS('🔵 Shared Threats'!K4:K13,"HIGH",'🔵 Shared Threats'!P4:P13,"YES",'🔵 Shared Threats'!O4:O13,"None")</f>
        <v>0</v>
      </c>
      <c r="E23" s="35" t="n">
        <f aca="false">COUNTIFS('🔵 Shared Threats'!K4:K13,"MEDIUM",'🔵 Shared Threats'!P4:P13,"YES",'🔵 Shared Threats'!O4:O13,"None")</f>
        <v>0</v>
      </c>
      <c r="F23" s="36" t="n">
        <f aca="false">COUNTIFS('🔵 Shared Threats'!K4:K13,"LOW",'🔵 Shared Threats'!P4:P13,"YES",'🔵 Shared Threats'!O4:O13,"None")</f>
        <v>0</v>
      </c>
      <c r="G23" s="37" t="n">
        <f aca="false">COUNTIFS('🔵 Shared Threats'!P4:P13,"YES",'🔵 Shared Threats'!O4:O13,"None")</f>
        <v>0</v>
      </c>
    </row>
    <row r="25" customFormat="false" ht="21.75" hidden="false" customHeight="true" outlineLevel="0" collapsed="false">
      <c r="B25" s="3" t="s">
        <v>96</v>
      </c>
      <c r="C25" s="3"/>
      <c r="D25" s="3"/>
      <c r="E25" s="3"/>
      <c r="F25" s="3"/>
      <c r="G25" s="3"/>
    </row>
    <row r="26" customFormat="false" ht="19.5" hidden="false" customHeight="true" outlineLevel="0" collapsed="false">
      <c r="B26" s="28" t="s">
        <v>2</v>
      </c>
      <c r="C26" s="28" t="s">
        <v>97</v>
      </c>
      <c r="D26" s="28" t="s">
        <v>98</v>
      </c>
      <c r="E26" s="28" t="s">
        <v>99</v>
      </c>
      <c r="F26" s="28" t="s">
        <v>89</v>
      </c>
      <c r="G26" s="28"/>
    </row>
    <row r="27" customFormat="false" ht="21.75" hidden="false" customHeight="true" outlineLevel="0" collapsed="false">
      <c r="B27" s="44" t="s">
        <v>5</v>
      </c>
      <c r="C27" s="45" t="n">
        <f aca="false">COUNTIF('🔴 OT Threats'!B4:B24,"Stage I – Business Objectives")</f>
        <v>2</v>
      </c>
      <c r="D27" s="45" t="n">
        <f aca="false">COUNTIF('🟢 IT Threats'!B4:B22,"Stage I – Business Objectives")</f>
        <v>2</v>
      </c>
      <c r="E27" s="45" t="n">
        <f aca="false">COUNTIF('🔵 Shared Threats'!B4:B13,"Stage I – Business Objectives")</f>
        <v>1</v>
      </c>
      <c r="F27" s="46" t="n">
        <f aca="false">SUM(C27:E27)</f>
        <v>5</v>
      </c>
      <c r="G27" s="47"/>
    </row>
    <row r="28" customFormat="false" ht="21.75" hidden="false" customHeight="true" outlineLevel="0" collapsed="false">
      <c r="B28" s="48" t="s">
        <v>8</v>
      </c>
      <c r="C28" s="49" t="n">
        <f aca="false">COUNTIF('🔴 OT Threats'!B4:B24,"Stage II – Technical Scope")</f>
        <v>3</v>
      </c>
      <c r="D28" s="49" t="n">
        <f aca="false">COUNTIF('🟢 IT Threats'!B4:B22,"Stage II – Technical Scope")</f>
        <v>2</v>
      </c>
      <c r="E28" s="49" t="n">
        <f aca="false">COUNTIF('🔵 Shared Threats'!B4:B13,"Stage II – Technical Scope")</f>
        <v>1</v>
      </c>
      <c r="F28" s="50" t="n">
        <f aca="false">SUM(C28:E28)</f>
        <v>6</v>
      </c>
      <c r="G28" s="47"/>
    </row>
    <row r="29" customFormat="false" ht="21.75" hidden="false" customHeight="true" outlineLevel="0" collapsed="false">
      <c r="B29" s="51" t="s">
        <v>11</v>
      </c>
      <c r="C29" s="45" t="n">
        <f aca="false">COUNTIF('🔴 OT Threats'!B4:B24,"Stage III – App Decomposition")</f>
        <v>3</v>
      </c>
      <c r="D29" s="45" t="n">
        <f aca="false">COUNTIF('🟢 IT Threats'!B4:B22,"Stage III – App Decomposition")</f>
        <v>3</v>
      </c>
      <c r="E29" s="45" t="n">
        <f aca="false">COUNTIF('🔵 Shared Threats'!B4:B13,"Stage III – App Decomposition")</f>
        <v>1</v>
      </c>
      <c r="F29" s="52" t="n">
        <f aca="false">SUM(C29:E29)</f>
        <v>7</v>
      </c>
      <c r="G29" s="47"/>
    </row>
    <row r="30" customFormat="false" ht="21.75" hidden="false" customHeight="true" outlineLevel="0" collapsed="false">
      <c r="B30" s="53" t="s">
        <v>14</v>
      </c>
      <c r="C30" s="49" t="n">
        <f aca="false">COUNTIF('🔴 OT Threats'!B4:B24,"Stage IV – Threat Analysis")</f>
        <v>4</v>
      </c>
      <c r="D30" s="49" t="n">
        <f aca="false">COUNTIF('🟢 IT Threats'!B4:B22,"Stage IV – Threat Analysis")</f>
        <v>3</v>
      </c>
      <c r="E30" s="49" t="n">
        <f aca="false">COUNTIF('🔵 Shared Threats'!B4:B13,"Stage IV – Threat Analysis")</f>
        <v>2</v>
      </c>
      <c r="F30" s="54" t="n">
        <f aca="false">SUM(C30:E30)</f>
        <v>9</v>
      </c>
      <c r="G30" s="47"/>
    </row>
    <row r="31" customFormat="false" ht="21.75" hidden="false" customHeight="true" outlineLevel="0" collapsed="false">
      <c r="B31" s="55" t="s">
        <v>17</v>
      </c>
      <c r="C31" s="45" t="n">
        <f aca="false">COUNTIF('🔴 OT Threats'!B4:B24,"Stage V – Vulnerability Analysis")</f>
        <v>3</v>
      </c>
      <c r="D31" s="45" t="n">
        <f aca="false">COUNTIF('🟢 IT Threats'!B4:B22,"Stage V – Vulnerability Analysis")</f>
        <v>3</v>
      </c>
      <c r="E31" s="45" t="n">
        <f aca="false">COUNTIF('🔵 Shared Threats'!B4:B13,"Stage V – Vulnerability Analysis")</f>
        <v>1</v>
      </c>
      <c r="F31" s="56" t="n">
        <f aca="false">SUM(C31:E31)</f>
        <v>7</v>
      </c>
      <c r="G31" s="47"/>
    </row>
    <row r="32" customFormat="false" ht="21.75" hidden="false" customHeight="true" outlineLevel="0" collapsed="false">
      <c r="B32" s="57" t="s">
        <v>20</v>
      </c>
      <c r="C32" s="49" t="n">
        <f aca="false">COUNTIF('🔴 OT Threats'!B4:B24,"Stage VI – Attack Modeling")</f>
        <v>3</v>
      </c>
      <c r="D32" s="49" t="n">
        <f aca="false">COUNTIF('🟢 IT Threats'!B4:B22,"Stage VI – Attack Modeling")</f>
        <v>3</v>
      </c>
      <c r="E32" s="49" t="n">
        <f aca="false">COUNTIF('🔵 Shared Threats'!B4:B13,"Stage VI – Attack Modeling")</f>
        <v>2</v>
      </c>
      <c r="F32" s="58" t="n">
        <f aca="false">SUM(C32:E32)</f>
        <v>8</v>
      </c>
      <c r="G32" s="47"/>
    </row>
    <row r="33" customFormat="false" ht="21.75" hidden="false" customHeight="true" outlineLevel="0" collapsed="false">
      <c r="B33" s="59" t="s">
        <v>23</v>
      </c>
      <c r="C33" s="45" t="n">
        <f aca="false">COUNTIF('🔴 OT Threats'!B4:B24,"Stage VII – Risk &amp; Impact Analysis")</f>
        <v>3</v>
      </c>
      <c r="D33" s="45" t="n">
        <f aca="false">COUNTIF('🟢 IT Threats'!B4:B22,"Stage VII – Risk &amp; Impact Analysis")</f>
        <v>3</v>
      </c>
      <c r="E33" s="45" t="n">
        <f aca="false">COUNTIF('🔵 Shared Threats'!B4:B13,"Stage VII – Risk &amp; Impact Analysis")</f>
        <v>2</v>
      </c>
      <c r="F33" s="60" t="n">
        <f aca="false">SUM(C33:E33)</f>
        <v>8</v>
      </c>
      <c r="G33" s="47"/>
    </row>
    <row r="35" customFormat="false" ht="36" hidden="false" customHeight="true" outlineLevel="0" collapsed="false">
      <c r="B35" s="61" t="s">
        <v>100</v>
      </c>
      <c r="C35" s="61"/>
      <c r="D35" s="61"/>
      <c r="E35" s="61"/>
      <c r="F35" s="61"/>
      <c r="G35" s="61"/>
    </row>
  </sheetData>
  <mergeCells count="6">
    <mergeCell ref="B2:G2"/>
    <mergeCell ref="B4:G4"/>
    <mergeCell ref="B11:G11"/>
    <mergeCell ref="B18:G18"/>
    <mergeCell ref="B25:G25"/>
    <mergeCell ref="B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55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22"/>
    <col collapsed="false" customWidth="true" hidden="false" outlineLevel="0" max="18" min="18" style="0" width="36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62" t="s">
        <v>101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customFormat="false" ht="43.5" hidden="false" customHeight="true" outlineLevel="0" collapsed="false">
      <c r="A3" s="63" t="s">
        <v>47</v>
      </c>
      <c r="B3" s="63" t="s">
        <v>2</v>
      </c>
      <c r="C3" s="63" t="s">
        <v>50</v>
      </c>
      <c r="D3" s="63" t="s">
        <v>52</v>
      </c>
      <c r="E3" s="63" t="s">
        <v>54</v>
      </c>
      <c r="F3" s="63" t="s">
        <v>56</v>
      </c>
      <c r="G3" s="63" t="s">
        <v>58</v>
      </c>
      <c r="H3" s="63" t="s">
        <v>102</v>
      </c>
      <c r="I3" s="63" t="s">
        <v>103</v>
      </c>
      <c r="J3" s="63" t="s">
        <v>104</v>
      </c>
      <c r="K3" s="63" t="s">
        <v>66</v>
      </c>
      <c r="L3" s="63" t="s">
        <v>68</v>
      </c>
      <c r="M3" s="63" t="s">
        <v>70</v>
      </c>
      <c r="N3" s="63" t="s">
        <v>105</v>
      </c>
      <c r="O3" s="63" t="s">
        <v>74</v>
      </c>
      <c r="P3" s="63" t="s">
        <v>106</v>
      </c>
      <c r="Q3" s="63" t="s">
        <v>78</v>
      </c>
      <c r="R3" s="63" t="s">
        <v>80</v>
      </c>
    </row>
    <row r="4" customFormat="false" ht="55.5" hidden="false" customHeight="true" outlineLevel="0" collapsed="false">
      <c r="A4" s="64" t="s">
        <v>107</v>
      </c>
      <c r="B4" s="65" t="s">
        <v>5</v>
      </c>
      <c r="C4" s="66" t="s">
        <v>108</v>
      </c>
      <c r="D4" s="66" t="s">
        <v>109</v>
      </c>
      <c r="E4" s="66" t="s">
        <v>110</v>
      </c>
      <c r="F4" s="66" t="s">
        <v>111</v>
      </c>
      <c r="G4" s="66" t="s">
        <v>112</v>
      </c>
      <c r="H4" s="67" t="n">
        <v>4</v>
      </c>
      <c r="I4" s="67" t="n">
        <v>4</v>
      </c>
      <c r="J4" s="68" t="n">
        <v>16</v>
      </c>
      <c r="K4" s="69" t="s">
        <v>86</v>
      </c>
      <c r="L4" s="66" t="s">
        <v>113</v>
      </c>
      <c r="M4" s="66" t="s">
        <v>114</v>
      </c>
      <c r="N4" s="66" t="s">
        <v>115</v>
      </c>
      <c r="O4" s="70" t="s">
        <v>116</v>
      </c>
      <c r="P4" s="70" t="s">
        <v>117</v>
      </c>
      <c r="Q4" s="71" t="str">
        <f aca="false">IF(P4="YES",IF(O4="Implemented","✅ Triggered+Mitigated",IF(O4="Partial","⚠️ Partial Controls","❌ Unmitigated")),"— Not Triggered")</f>
        <v>— Not Triggered</v>
      </c>
      <c r="R4" s="66" t="s">
        <v>118</v>
      </c>
    </row>
    <row r="5" customFormat="false" ht="55.5" hidden="false" customHeight="true" outlineLevel="0" collapsed="false">
      <c r="A5" s="72" t="s">
        <v>119</v>
      </c>
      <c r="B5" s="65" t="s">
        <v>5</v>
      </c>
      <c r="C5" s="73" t="s">
        <v>120</v>
      </c>
      <c r="D5" s="73" t="s">
        <v>121</v>
      </c>
      <c r="E5" s="73" t="s">
        <v>122</v>
      </c>
      <c r="F5" s="73" t="s">
        <v>123</v>
      </c>
      <c r="G5" s="73" t="s">
        <v>124</v>
      </c>
      <c r="H5" s="74" t="n">
        <v>2</v>
      </c>
      <c r="I5" s="74" t="n">
        <v>5</v>
      </c>
      <c r="J5" s="68" t="n">
        <v>10</v>
      </c>
      <c r="K5" s="69" t="s">
        <v>86</v>
      </c>
      <c r="L5" s="73" t="s">
        <v>125</v>
      </c>
      <c r="M5" s="73" t="s">
        <v>126</v>
      </c>
      <c r="N5" s="73" t="s">
        <v>127</v>
      </c>
      <c r="O5" s="70" t="s">
        <v>116</v>
      </c>
      <c r="P5" s="70" t="s">
        <v>117</v>
      </c>
      <c r="Q5" s="71" t="str">
        <f aca="false">IF(P5="YES",IF(O5="Implemented","✅ Triggered+Mitigated",IF(O5="Partial","⚠️ Partial Controls","❌ Unmitigated")),"— Not Triggered")</f>
        <v>— Not Triggered</v>
      </c>
      <c r="R5" s="73" t="s">
        <v>128</v>
      </c>
    </row>
    <row r="6" customFormat="false" ht="55.5" hidden="false" customHeight="true" outlineLevel="0" collapsed="false">
      <c r="A6" s="64" t="s">
        <v>129</v>
      </c>
      <c r="B6" s="75" t="s">
        <v>8</v>
      </c>
      <c r="C6" s="66" t="s">
        <v>130</v>
      </c>
      <c r="D6" s="66" t="s">
        <v>131</v>
      </c>
      <c r="E6" s="66" t="s">
        <v>132</v>
      </c>
      <c r="F6" s="66" t="s">
        <v>133</v>
      </c>
      <c r="G6" s="66" t="s">
        <v>134</v>
      </c>
      <c r="H6" s="67" t="n">
        <v>4</v>
      </c>
      <c r="I6" s="67" t="n">
        <v>4</v>
      </c>
      <c r="J6" s="68" t="n">
        <v>16</v>
      </c>
      <c r="K6" s="69" t="s">
        <v>86</v>
      </c>
      <c r="L6" s="66" t="s">
        <v>135</v>
      </c>
      <c r="M6" s="66" t="s">
        <v>136</v>
      </c>
      <c r="N6" s="66" t="s">
        <v>137</v>
      </c>
      <c r="O6" s="70" t="s">
        <v>116</v>
      </c>
      <c r="P6" s="70" t="s">
        <v>117</v>
      </c>
      <c r="Q6" s="71" t="str">
        <f aca="false">IF(P6="YES",IF(O6="Implemented","✅ Triggered+Mitigated",IF(O6="Partial","⚠️ Partial Controls","❌ Unmitigated")),"— Not Triggered")</f>
        <v>— Not Triggered</v>
      </c>
      <c r="R6" s="66" t="s">
        <v>138</v>
      </c>
    </row>
    <row r="7" customFormat="false" ht="55.5" hidden="false" customHeight="true" outlineLevel="0" collapsed="false">
      <c r="A7" s="72" t="s">
        <v>139</v>
      </c>
      <c r="B7" s="75" t="s">
        <v>8</v>
      </c>
      <c r="C7" s="73" t="s">
        <v>140</v>
      </c>
      <c r="D7" s="73" t="s">
        <v>141</v>
      </c>
      <c r="E7" s="73" t="s">
        <v>142</v>
      </c>
      <c r="F7" s="73" t="s">
        <v>143</v>
      </c>
      <c r="G7" s="73" t="s">
        <v>134</v>
      </c>
      <c r="H7" s="74" t="n">
        <v>4</v>
      </c>
      <c r="I7" s="74" t="n">
        <v>5</v>
      </c>
      <c r="J7" s="76" t="n">
        <v>20</v>
      </c>
      <c r="K7" s="77" t="s">
        <v>85</v>
      </c>
      <c r="L7" s="73" t="s">
        <v>144</v>
      </c>
      <c r="M7" s="73" t="s">
        <v>145</v>
      </c>
      <c r="N7" s="73" t="s">
        <v>146</v>
      </c>
      <c r="O7" s="70" t="s">
        <v>116</v>
      </c>
      <c r="P7" s="70" t="s">
        <v>117</v>
      </c>
      <c r="Q7" s="71" t="str">
        <f aca="false">IF(P7="YES",IF(O7="Implemented","✅ Triggered+Mitigated",IF(O7="Partial","⚠️ Partial Controls","❌ Unmitigated")),"— Not Triggered")</f>
        <v>— Not Triggered</v>
      </c>
      <c r="R7" s="73" t="s">
        <v>147</v>
      </c>
    </row>
    <row r="8" customFormat="false" ht="55.5" hidden="false" customHeight="true" outlineLevel="0" collapsed="false">
      <c r="A8" s="64" t="s">
        <v>148</v>
      </c>
      <c r="B8" s="75" t="s">
        <v>8</v>
      </c>
      <c r="C8" s="66" t="s">
        <v>149</v>
      </c>
      <c r="D8" s="66" t="s">
        <v>150</v>
      </c>
      <c r="E8" s="66" t="s">
        <v>151</v>
      </c>
      <c r="F8" s="66" t="s">
        <v>152</v>
      </c>
      <c r="G8" s="66" t="s">
        <v>134</v>
      </c>
      <c r="H8" s="67" t="n">
        <v>4</v>
      </c>
      <c r="I8" s="67" t="n">
        <v>5</v>
      </c>
      <c r="J8" s="76" t="n">
        <v>20</v>
      </c>
      <c r="K8" s="77" t="s">
        <v>85</v>
      </c>
      <c r="L8" s="66" t="s">
        <v>153</v>
      </c>
      <c r="M8" s="66" t="s">
        <v>154</v>
      </c>
      <c r="N8" s="66" t="s">
        <v>155</v>
      </c>
      <c r="O8" s="70" t="s">
        <v>116</v>
      </c>
      <c r="P8" s="70" t="s">
        <v>117</v>
      </c>
      <c r="Q8" s="71" t="str">
        <f aca="false">IF(P8="YES",IF(O8="Implemented","✅ Triggered+Mitigated",IF(O8="Partial","⚠️ Partial Controls","❌ Unmitigated")),"— Not Triggered")</f>
        <v>— Not Triggered</v>
      </c>
      <c r="R8" s="66" t="s">
        <v>156</v>
      </c>
    </row>
    <row r="9" customFormat="false" ht="55.5" hidden="false" customHeight="true" outlineLevel="0" collapsed="false">
      <c r="A9" s="72" t="s">
        <v>157</v>
      </c>
      <c r="B9" s="78" t="s">
        <v>11</v>
      </c>
      <c r="C9" s="73" t="s">
        <v>158</v>
      </c>
      <c r="D9" s="73" t="s">
        <v>159</v>
      </c>
      <c r="E9" s="73" t="s">
        <v>160</v>
      </c>
      <c r="F9" s="73" t="s">
        <v>161</v>
      </c>
      <c r="G9" s="73" t="s">
        <v>124</v>
      </c>
      <c r="H9" s="74" t="n">
        <v>3</v>
      </c>
      <c r="I9" s="74" t="n">
        <v>5</v>
      </c>
      <c r="J9" s="68" t="n">
        <v>15</v>
      </c>
      <c r="K9" s="69" t="s">
        <v>86</v>
      </c>
      <c r="L9" s="73" t="s">
        <v>162</v>
      </c>
      <c r="M9" s="73" t="s">
        <v>163</v>
      </c>
      <c r="N9" s="73" t="s">
        <v>164</v>
      </c>
      <c r="O9" s="70" t="s">
        <v>116</v>
      </c>
      <c r="P9" s="70" t="s">
        <v>117</v>
      </c>
      <c r="Q9" s="71" t="str">
        <f aca="false">IF(P9="YES",IF(O9="Implemented","✅ Triggered+Mitigated",IF(O9="Partial","⚠️ Partial Controls","❌ Unmitigated")),"— Not Triggered")</f>
        <v>— Not Triggered</v>
      </c>
      <c r="R9" s="73" t="s">
        <v>165</v>
      </c>
    </row>
    <row r="10" customFormat="false" ht="55.5" hidden="false" customHeight="true" outlineLevel="0" collapsed="false">
      <c r="A10" s="64" t="s">
        <v>166</v>
      </c>
      <c r="B10" s="78" t="s">
        <v>11</v>
      </c>
      <c r="C10" s="66" t="s">
        <v>167</v>
      </c>
      <c r="D10" s="66" t="s">
        <v>168</v>
      </c>
      <c r="E10" s="66" t="s">
        <v>169</v>
      </c>
      <c r="F10" s="66" t="s">
        <v>170</v>
      </c>
      <c r="G10" s="66" t="s">
        <v>171</v>
      </c>
      <c r="H10" s="67" t="n">
        <v>4</v>
      </c>
      <c r="I10" s="67" t="n">
        <v>5</v>
      </c>
      <c r="J10" s="76" t="n">
        <v>20</v>
      </c>
      <c r="K10" s="77" t="s">
        <v>85</v>
      </c>
      <c r="L10" s="66" t="s">
        <v>172</v>
      </c>
      <c r="M10" s="66" t="s">
        <v>173</v>
      </c>
      <c r="N10" s="66" t="s">
        <v>174</v>
      </c>
      <c r="O10" s="70" t="s">
        <v>116</v>
      </c>
      <c r="P10" s="70" t="s">
        <v>117</v>
      </c>
      <c r="Q10" s="71" t="str">
        <f aca="false">IF(P10="YES",IF(O10="Implemented","✅ Triggered+Mitigated",IF(O10="Partial","⚠️ Partial Controls","❌ Unmitigated")),"— Not Triggered")</f>
        <v>— Not Triggered</v>
      </c>
      <c r="R10" s="66" t="s">
        <v>175</v>
      </c>
    </row>
    <row r="11" customFormat="false" ht="55.5" hidden="false" customHeight="true" outlineLevel="0" collapsed="false">
      <c r="A11" s="72" t="s">
        <v>176</v>
      </c>
      <c r="B11" s="78" t="s">
        <v>11</v>
      </c>
      <c r="C11" s="73" t="s">
        <v>177</v>
      </c>
      <c r="D11" s="73" t="s">
        <v>178</v>
      </c>
      <c r="E11" s="73" t="s">
        <v>179</v>
      </c>
      <c r="F11" s="73" t="s">
        <v>180</v>
      </c>
      <c r="G11" s="73" t="s">
        <v>134</v>
      </c>
      <c r="H11" s="74" t="n">
        <v>3</v>
      </c>
      <c r="I11" s="74" t="n">
        <v>4</v>
      </c>
      <c r="J11" s="68" t="n">
        <v>12</v>
      </c>
      <c r="K11" s="69" t="s">
        <v>86</v>
      </c>
      <c r="L11" s="73" t="s">
        <v>181</v>
      </c>
      <c r="M11" s="73" t="s">
        <v>182</v>
      </c>
      <c r="N11" s="73" t="s">
        <v>183</v>
      </c>
      <c r="O11" s="70" t="s">
        <v>116</v>
      </c>
      <c r="P11" s="70" t="s">
        <v>117</v>
      </c>
      <c r="Q11" s="71" t="str">
        <f aca="false">IF(P11="YES",IF(O11="Implemented","✅ Triggered+Mitigated",IF(O11="Partial","⚠️ Partial Controls","❌ Unmitigated")),"— Not Triggered")</f>
        <v>— Not Triggered</v>
      </c>
      <c r="R11" s="73" t="s">
        <v>184</v>
      </c>
    </row>
    <row r="12" customFormat="false" ht="55.5" hidden="false" customHeight="true" outlineLevel="0" collapsed="false">
      <c r="A12" s="64" t="s">
        <v>185</v>
      </c>
      <c r="B12" s="79" t="s">
        <v>14</v>
      </c>
      <c r="C12" s="66" t="s">
        <v>186</v>
      </c>
      <c r="D12" s="66" t="s">
        <v>187</v>
      </c>
      <c r="E12" s="66" t="s">
        <v>188</v>
      </c>
      <c r="F12" s="66" t="s">
        <v>189</v>
      </c>
      <c r="G12" s="66" t="s">
        <v>190</v>
      </c>
      <c r="H12" s="67" t="n">
        <v>2</v>
      </c>
      <c r="I12" s="67" t="n">
        <v>5</v>
      </c>
      <c r="J12" s="68" t="n">
        <v>10</v>
      </c>
      <c r="K12" s="69" t="s">
        <v>86</v>
      </c>
      <c r="L12" s="66" t="s">
        <v>191</v>
      </c>
      <c r="M12" s="66" t="s">
        <v>192</v>
      </c>
      <c r="N12" s="66" t="s">
        <v>193</v>
      </c>
      <c r="O12" s="70" t="s">
        <v>116</v>
      </c>
      <c r="P12" s="70" t="s">
        <v>117</v>
      </c>
      <c r="Q12" s="71" t="str">
        <f aca="false">IF(P12="YES",IF(O12="Implemented","✅ Triggered+Mitigated",IF(O12="Partial","⚠️ Partial Controls","❌ Unmitigated")),"— Not Triggered")</f>
        <v>— Not Triggered</v>
      </c>
      <c r="R12" s="66" t="s">
        <v>194</v>
      </c>
    </row>
    <row r="13" customFormat="false" ht="55.5" hidden="false" customHeight="true" outlineLevel="0" collapsed="false">
      <c r="A13" s="72" t="s">
        <v>195</v>
      </c>
      <c r="B13" s="79" t="s">
        <v>14</v>
      </c>
      <c r="C13" s="73" t="s">
        <v>196</v>
      </c>
      <c r="D13" s="73" t="s">
        <v>197</v>
      </c>
      <c r="E13" s="73" t="s">
        <v>198</v>
      </c>
      <c r="F13" s="73" t="s">
        <v>199</v>
      </c>
      <c r="G13" s="73" t="s">
        <v>200</v>
      </c>
      <c r="H13" s="74" t="n">
        <v>3</v>
      </c>
      <c r="I13" s="74" t="n">
        <v>5</v>
      </c>
      <c r="J13" s="68" t="n">
        <v>15</v>
      </c>
      <c r="K13" s="69" t="s">
        <v>86</v>
      </c>
      <c r="L13" s="73" t="s">
        <v>201</v>
      </c>
      <c r="M13" s="73" t="s">
        <v>202</v>
      </c>
      <c r="N13" s="73" t="s">
        <v>146</v>
      </c>
      <c r="O13" s="70" t="s">
        <v>116</v>
      </c>
      <c r="P13" s="70" t="s">
        <v>117</v>
      </c>
      <c r="Q13" s="71" t="str">
        <f aca="false">IF(P13="YES",IF(O13="Implemented","✅ Triggered+Mitigated",IF(O13="Partial","⚠️ Partial Controls","❌ Unmitigated")),"— Not Triggered")</f>
        <v>— Not Triggered</v>
      </c>
      <c r="R13" s="73" t="s">
        <v>203</v>
      </c>
    </row>
    <row r="14" customFormat="false" ht="55.5" hidden="false" customHeight="true" outlineLevel="0" collapsed="false">
      <c r="A14" s="64" t="s">
        <v>204</v>
      </c>
      <c r="B14" s="79" t="s">
        <v>14</v>
      </c>
      <c r="C14" s="66" t="s">
        <v>205</v>
      </c>
      <c r="D14" s="66" t="s">
        <v>206</v>
      </c>
      <c r="E14" s="66" t="s">
        <v>207</v>
      </c>
      <c r="F14" s="66" t="s">
        <v>208</v>
      </c>
      <c r="G14" s="66" t="s">
        <v>190</v>
      </c>
      <c r="H14" s="67" t="n">
        <v>2</v>
      </c>
      <c r="I14" s="67" t="n">
        <v>5</v>
      </c>
      <c r="J14" s="68" t="n">
        <v>10</v>
      </c>
      <c r="K14" s="69" t="s">
        <v>86</v>
      </c>
      <c r="L14" s="66" t="s">
        <v>209</v>
      </c>
      <c r="M14" s="66" t="s">
        <v>210</v>
      </c>
      <c r="N14" s="66" t="s">
        <v>193</v>
      </c>
      <c r="O14" s="70" t="s">
        <v>116</v>
      </c>
      <c r="P14" s="70" t="s">
        <v>117</v>
      </c>
      <c r="Q14" s="71" t="str">
        <f aca="false">IF(P14="YES",IF(O14="Implemented","✅ Triggered+Mitigated",IF(O14="Partial","⚠️ Partial Controls","❌ Unmitigated")),"— Not Triggered")</f>
        <v>— Not Triggered</v>
      </c>
      <c r="R14" s="66" t="s">
        <v>211</v>
      </c>
    </row>
    <row r="15" customFormat="false" ht="55.5" hidden="false" customHeight="true" outlineLevel="0" collapsed="false">
      <c r="A15" s="72" t="s">
        <v>212</v>
      </c>
      <c r="B15" s="79" t="s">
        <v>14</v>
      </c>
      <c r="C15" s="73" t="s">
        <v>213</v>
      </c>
      <c r="D15" s="73" t="s">
        <v>214</v>
      </c>
      <c r="E15" s="73" t="s">
        <v>215</v>
      </c>
      <c r="F15" s="73" t="s">
        <v>216</v>
      </c>
      <c r="G15" s="73" t="s">
        <v>112</v>
      </c>
      <c r="H15" s="74" t="n">
        <v>3</v>
      </c>
      <c r="I15" s="74" t="n">
        <v>4</v>
      </c>
      <c r="J15" s="68" t="n">
        <v>12</v>
      </c>
      <c r="K15" s="69" t="s">
        <v>86</v>
      </c>
      <c r="L15" s="73" t="s">
        <v>217</v>
      </c>
      <c r="M15" s="73" t="s">
        <v>136</v>
      </c>
      <c r="N15" s="73" t="s">
        <v>174</v>
      </c>
      <c r="O15" s="70" t="s">
        <v>116</v>
      </c>
      <c r="P15" s="70" t="s">
        <v>117</v>
      </c>
      <c r="Q15" s="71" t="str">
        <f aca="false">IF(P15="YES",IF(O15="Implemented","✅ Triggered+Mitigated",IF(O15="Partial","⚠️ Partial Controls","❌ Unmitigated")),"— Not Triggered")</f>
        <v>— Not Triggered</v>
      </c>
      <c r="R15" s="73" t="s">
        <v>218</v>
      </c>
    </row>
    <row r="16" customFormat="false" ht="55.5" hidden="false" customHeight="true" outlineLevel="0" collapsed="false">
      <c r="A16" s="64" t="s">
        <v>219</v>
      </c>
      <c r="B16" s="80" t="s">
        <v>17</v>
      </c>
      <c r="C16" s="66" t="s">
        <v>220</v>
      </c>
      <c r="D16" s="66" t="s">
        <v>221</v>
      </c>
      <c r="E16" s="66" t="s">
        <v>222</v>
      </c>
      <c r="F16" s="66" t="s">
        <v>223</v>
      </c>
      <c r="G16" s="66" t="s">
        <v>112</v>
      </c>
      <c r="H16" s="67" t="n">
        <v>4</v>
      </c>
      <c r="I16" s="67" t="n">
        <v>5</v>
      </c>
      <c r="J16" s="76" t="n">
        <v>20</v>
      </c>
      <c r="K16" s="77" t="s">
        <v>85</v>
      </c>
      <c r="L16" s="66" t="s">
        <v>224</v>
      </c>
      <c r="M16" s="66" t="s">
        <v>225</v>
      </c>
      <c r="N16" s="66" t="s">
        <v>226</v>
      </c>
      <c r="O16" s="70" t="s">
        <v>116</v>
      </c>
      <c r="P16" s="70" t="s">
        <v>117</v>
      </c>
      <c r="Q16" s="71" t="str">
        <f aca="false">IF(P16="YES",IF(O16="Implemented","✅ Triggered+Mitigated",IF(O16="Partial","⚠️ Partial Controls","❌ Unmitigated")),"— Not Triggered")</f>
        <v>— Not Triggered</v>
      </c>
      <c r="R16" s="66" t="s">
        <v>227</v>
      </c>
    </row>
    <row r="17" customFormat="false" ht="55.5" hidden="false" customHeight="true" outlineLevel="0" collapsed="false">
      <c r="A17" s="72" t="s">
        <v>228</v>
      </c>
      <c r="B17" s="80" t="s">
        <v>17</v>
      </c>
      <c r="C17" s="73" t="s">
        <v>229</v>
      </c>
      <c r="D17" s="73" t="s">
        <v>230</v>
      </c>
      <c r="E17" s="73" t="s">
        <v>231</v>
      </c>
      <c r="F17" s="73" t="s">
        <v>232</v>
      </c>
      <c r="G17" s="73" t="s">
        <v>233</v>
      </c>
      <c r="H17" s="74" t="n">
        <v>5</v>
      </c>
      <c r="I17" s="74" t="n">
        <v>4</v>
      </c>
      <c r="J17" s="76" t="n">
        <v>20</v>
      </c>
      <c r="K17" s="77" t="s">
        <v>85</v>
      </c>
      <c r="L17" s="73" t="s">
        <v>234</v>
      </c>
      <c r="M17" s="73" t="s">
        <v>235</v>
      </c>
      <c r="N17" s="73" t="s">
        <v>236</v>
      </c>
      <c r="O17" s="70" t="s">
        <v>116</v>
      </c>
      <c r="P17" s="70" t="s">
        <v>117</v>
      </c>
      <c r="Q17" s="71" t="str">
        <f aca="false">IF(P17="YES",IF(O17="Implemented","✅ Triggered+Mitigated",IF(O17="Partial","⚠️ Partial Controls","❌ Unmitigated")),"— Not Triggered")</f>
        <v>— Not Triggered</v>
      </c>
      <c r="R17" s="73" t="s">
        <v>237</v>
      </c>
    </row>
    <row r="18" customFormat="false" ht="55.5" hidden="false" customHeight="true" outlineLevel="0" collapsed="false">
      <c r="A18" s="64" t="s">
        <v>238</v>
      </c>
      <c r="B18" s="80" t="s">
        <v>17</v>
      </c>
      <c r="C18" s="66" t="s">
        <v>239</v>
      </c>
      <c r="D18" s="66" t="s">
        <v>240</v>
      </c>
      <c r="E18" s="66" t="s">
        <v>241</v>
      </c>
      <c r="F18" s="66" t="s">
        <v>242</v>
      </c>
      <c r="G18" s="66" t="s">
        <v>112</v>
      </c>
      <c r="H18" s="67" t="n">
        <v>3</v>
      </c>
      <c r="I18" s="67" t="n">
        <v>4</v>
      </c>
      <c r="J18" s="68" t="n">
        <v>12</v>
      </c>
      <c r="K18" s="69" t="s">
        <v>86</v>
      </c>
      <c r="L18" s="66" t="s">
        <v>243</v>
      </c>
      <c r="M18" s="66" t="s">
        <v>136</v>
      </c>
      <c r="N18" s="66" t="s">
        <v>244</v>
      </c>
      <c r="O18" s="70" t="s">
        <v>116</v>
      </c>
      <c r="P18" s="70" t="s">
        <v>117</v>
      </c>
      <c r="Q18" s="71" t="str">
        <f aca="false">IF(P18="YES",IF(O18="Implemented","✅ Triggered+Mitigated",IF(O18="Partial","⚠️ Partial Controls","❌ Unmitigated")),"— Not Triggered")</f>
        <v>— Not Triggered</v>
      </c>
      <c r="R18" s="66" t="s">
        <v>245</v>
      </c>
    </row>
    <row r="19" customFormat="false" ht="55.5" hidden="false" customHeight="true" outlineLevel="0" collapsed="false">
      <c r="A19" s="72" t="s">
        <v>246</v>
      </c>
      <c r="B19" s="81" t="s">
        <v>20</v>
      </c>
      <c r="C19" s="73" t="s">
        <v>247</v>
      </c>
      <c r="D19" s="73" t="s">
        <v>248</v>
      </c>
      <c r="E19" s="73" t="s">
        <v>249</v>
      </c>
      <c r="F19" s="73" t="s">
        <v>250</v>
      </c>
      <c r="G19" s="73" t="s">
        <v>190</v>
      </c>
      <c r="H19" s="74" t="n">
        <v>3</v>
      </c>
      <c r="I19" s="74" t="n">
        <v>5</v>
      </c>
      <c r="J19" s="68" t="n">
        <v>15</v>
      </c>
      <c r="K19" s="69" t="s">
        <v>86</v>
      </c>
      <c r="L19" s="73" t="s">
        <v>251</v>
      </c>
      <c r="M19" s="73" t="s">
        <v>252</v>
      </c>
      <c r="N19" s="73" t="s">
        <v>253</v>
      </c>
      <c r="O19" s="70" t="s">
        <v>116</v>
      </c>
      <c r="P19" s="70" t="s">
        <v>117</v>
      </c>
      <c r="Q19" s="71" t="str">
        <f aca="false">IF(P19="YES",IF(O19="Implemented","✅ Triggered+Mitigated",IF(O19="Partial","⚠️ Partial Controls","❌ Unmitigated")),"— Not Triggered")</f>
        <v>— Not Triggered</v>
      </c>
      <c r="R19" s="73" t="s">
        <v>254</v>
      </c>
    </row>
    <row r="20" customFormat="false" ht="55.5" hidden="false" customHeight="true" outlineLevel="0" collapsed="false">
      <c r="A20" s="64" t="s">
        <v>255</v>
      </c>
      <c r="B20" s="81" t="s">
        <v>20</v>
      </c>
      <c r="C20" s="66" t="s">
        <v>256</v>
      </c>
      <c r="D20" s="66" t="s">
        <v>257</v>
      </c>
      <c r="E20" s="66" t="s">
        <v>258</v>
      </c>
      <c r="F20" s="66" t="s">
        <v>259</v>
      </c>
      <c r="G20" s="66" t="s">
        <v>124</v>
      </c>
      <c r="H20" s="67" t="n">
        <v>3</v>
      </c>
      <c r="I20" s="67" t="n">
        <v>5</v>
      </c>
      <c r="J20" s="68" t="n">
        <v>15</v>
      </c>
      <c r="K20" s="69" t="s">
        <v>86</v>
      </c>
      <c r="L20" s="66" t="s">
        <v>260</v>
      </c>
      <c r="M20" s="66" t="s">
        <v>163</v>
      </c>
      <c r="N20" s="66" t="s">
        <v>183</v>
      </c>
      <c r="O20" s="70" t="s">
        <v>116</v>
      </c>
      <c r="P20" s="70" t="s">
        <v>117</v>
      </c>
      <c r="Q20" s="71" t="str">
        <f aca="false">IF(P20="YES",IF(O20="Implemented","✅ Triggered+Mitigated",IF(O20="Partial","⚠️ Partial Controls","❌ Unmitigated")),"— Not Triggered")</f>
        <v>— Not Triggered</v>
      </c>
      <c r="R20" s="66" t="s">
        <v>261</v>
      </c>
    </row>
    <row r="21" customFormat="false" ht="55.5" hidden="false" customHeight="true" outlineLevel="0" collapsed="false">
      <c r="A21" s="72" t="s">
        <v>262</v>
      </c>
      <c r="B21" s="81" t="s">
        <v>20</v>
      </c>
      <c r="C21" s="73" t="s">
        <v>263</v>
      </c>
      <c r="D21" s="73" t="s">
        <v>264</v>
      </c>
      <c r="E21" s="73" t="s">
        <v>265</v>
      </c>
      <c r="F21" s="73" t="s">
        <v>266</v>
      </c>
      <c r="G21" s="73" t="s">
        <v>267</v>
      </c>
      <c r="H21" s="74" t="n">
        <v>4</v>
      </c>
      <c r="I21" s="74" t="n">
        <v>5</v>
      </c>
      <c r="J21" s="76" t="n">
        <v>20</v>
      </c>
      <c r="K21" s="77" t="s">
        <v>85</v>
      </c>
      <c r="L21" s="73" t="s">
        <v>268</v>
      </c>
      <c r="M21" s="73" t="s">
        <v>269</v>
      </c>
      <c r="N21" s="73" t="s">
        <v>270</v>
      </c>
      <c r="O21" s="70" t="s">
        <v>116</v>
      </c>
      <c r="P21" s="70" t="s">
        <v>117</v>
      </c>
      <c r="Q21" s="71" t="str">
        <f aca="false">IF(P21="YES",IF(O21="Implemented","✅ Triggered+Mitigated",IF(O21="Partial","⚠️ Partial Controls","❌ Unmitigated")),"— Not Triggered")</f>
        <v>— Not Triggered</v>
      </c>
      <c r="R21" s="73" t="s">
        <v>271</v>
      </c>
    </row>
    <row r="22" customFormat="false" ht="55.5" hidden="false" customHeight="true" outlineLevel="0" collapsed="false">
      <c r="A22" s="64" t="s">
        <v>272</v>
      </c>
      <c r="B22" s="82" t="s">
        <v>23</v>
      </c>
      <c r="C22" s="66" t="s">
        <v>273</v>
      </c>
      <c r="D22" s="66" t="s">
        <v>274</v>
      </c>
      <c r="E22" s="66" t="s">
        <v>275</v>
      </c>
      <c r="F22" s="66" t="s">
        <v>276</v>
      </c>
      <c r="G22" s="66" t="s">
        <v>190</v>
      </c>
      <c r="H22" s="67" t="n">
        <v>2</v>
      </c>
      <c r="I22" s="67" t="n">
        <v>5</v>
      </c>
      <c r="J22" s="68" t="n">
        <v>10</v>
      </c>
      <c r="K22" s="69" t="s">
        <v>86</v>
      </c>
      <c r="L22" s="66" t="s">
        <v>277</v>
      </c>
      <c r="M22" s="66" t="s">
        <v>278</v>
      </c>
      <c r="N22" s="66" t="s">
        <v>193</v>
      </c>
      <c r="O22" s="70" t="s">
        <v>116</v>
      </c>
      <c r="P22" s="70" t="s">
        <v>117</v>
      </c>
      <c r="Q22" s="71" t="str">
        <f aca="false">IF(P22="YES",IF(O22="Implemented","✅ Triggered+Mitigated",IF(O22="Partial","⚠️ Partial Controls","❌ Unmitigated")),"— Not Triggered")</f>
        <v>— Not Triggered</v>
      </c>
      <c r="R22" s="66" t="s">
        <v>279</v>
      </c>
    </row>
    <row r="23" customFormat="false" ht="55.5" hidden="false" customHeight="true" outlineLevel="0" collapsed="false">
      <c r="A23" s="72" t="s">
        <v>280</v>
      </c>
      <c r="B23" s="82" t="s">
        <v>23</v>
      </c>
      <c r="C23" s="73" t="s">
        <v>281</v>
      </c>
      <c r="D23" s="73" t="s">
        <v>282</v>
      </c>
      <c r="E23" s="73" t="s">
        <v>283</v>
      </c>
      <c r="F23" s="73" t="s">
        <v>284</v>
      </c>
      <c r="G23" s="73" t="s">
        <v>190</v>
      </c>
      <c r="H23" s="74" t="n">
        <v>2</v>
      </c>
      <c r="I23" s="74" t="n">
        <v>5</v>
      </c>
      <c r="J23" s="68" t="n">
        <v>10</v>
      </c>
      <c r="K23" s="69" t="s">
        <v>86</v>
      </c>
      <c r="L23" s="73" t="s">
        <v>285</v>
      </c>
      <c r="M23" s="73" t="s">
        <v>286</v>
      </c>
      <c r="N23" s="73" t="s">
        <v>193</v>
      </c>
      <c r="O23" s="70" t="s">
        <v>116</v>
      </c>
      <c r="P23" s="70" t="s">
        <v>117</v>
      </c>
      <c r="Q23" s="71" t="str">
        <f aca="false">IF(P23="YES",IF(O23="Implemented","✅ Triggered+Mitigated",IF(O23="Partial","⚠️ Partial Controls","❌ Unmitigated")),"— Not Triggered")</f>
        <v>— Not Triggered</v>
      </c>
      <c r="R23" s="73" t="s">
        <v>287</v>
      </c>
    </row>
    <row r="24" customFormat="false" ht="55.5" hidden="false" customHeight="true" outlineLevel="0" collapsed="false">
      <c r="A24" s="64" t="s">
        <v>288</v>
      </c>
      <c r="B24" s="82" t="s">
        <v>23</v>
      </c>
      <c r="C24" s="66" t="s">
        <v>289</v>
      </c>
      <c r="D24" s="66" t="s">
        <v>290</v>
      </c>
      <c r="E24" s="66" t="s">
        <v>291</v>
      </c>
      <c r="F24" s="66" t="s">
        <v>292</v>
      </c>
      <c r="G24" s="66" t="s">
        <v>190</v>
      </c>
      <c r="H24" s="67" t="n">
        <v>2</v>
      </c>
      <c r="I24" s="67" t="n">
        <v>5</v>
      </c>
      <c r="J24" s="68" t="n">
        <v>10</v>
      </c>
      <c r="K24" s="69" t="s">
        <v>86</v>
      </c>
      <c r="L24" s="66" t="s">
        <v>293</v>
      </c>
      <c r="M24" s="66" t="s">
        <v>294</v>
      </c>
      <c r="N24" s="66" t="s">
        <v>183</v>
      </c>
      <c r="O24" s="70" t="s">
        <v>116</v>
      </c>
      <c r="P24" s="70" t="s">
        <v>117</v>
      </c>
      <c r="Q24" s="71" t="str">
        <f aca="false">IF(P24="YES",IF(O24="Implemented","✅ Triggered+Mitigated",IF(O24="Partial","⚠️ Partial Controls","❌ Unmitigated")),"— Not Triggered")</f>
        <v>— Not Triggered</v>
      </c>
      <c r="R24" s="66" t="s">
        <v>295</v>
      </c>
    </row>
  </sheetData>
  <mergeCells count="1">
    <mergeCell ref="A2:R2"/>
  </mergeCells>
  <conditionalFormatting sqref="Q4">
    <cfRule type="expression" priority="2" aboveAverage="0" equalAverage="0" bottom="0" percent="0" rank="0" text="" dxfId="0">
      <formula>AND(P4="YES",O4="Implemented")</formula>
    </cfRule>
    <cfRule type="expression" priority="3" aboveAverage="0" equalAverage="0" bottom="0" percent="0" rank="0" text="" dxfId="1">
      <formula>AND(P4="YES",O4="Partial")</formula>
    </cfRule>
    <cfRule type="expression" priority="4" aboveAverage="0" equalAverage="0" bottom="0" percent="0" rank="0" text="" dxfId="2">
      <formula>AND(P4="YES",O4="None")</formula>
    </cfRule>
  </conditionalFormatting>
  <conditionalFormatting sqref="Q5">
    <cfRule type="expression" priority="5" aboveAverage="0" equalAverage="0" bottom="0" percent="0" rank="0" text="" dxfId="0">
      <formula>AND(P5="YES",O5="Implemented")</formula>
    </cfRule>
    <cfRule type="expression" priority="6" aboveAverage="0" equalAverage="0" bottom="0" percent="0" rank="0" text="" dxfId="1">
      <formula>AND(P5="YES",O5="Partial")</formula>
    </cfRule>
    <cfRule type="expression" priority="7" aboveAverage="0" equalAverage="0" bottom="0" percent="0" rank="0" text="" dxfId="2">
      <formula>AND(P5="YES",O5="None")</formula>
    </cfRule>
  </conditionalFormatting>
  <conditionalFormatting sqref="Q6">
    <cfRule type="expression" priority="8" aboveAverage="0" equalAverage="0" bottom="0" percent="0" rank="0" text="" dxfId="0">
      <formula>AND(P6="YES",O6="Implemented")</formula>
    </cfRule>
    <cfRule type="expression" priority="9" aboveAverage="0" equalAverage="0" bottom="0" percent="0" rank="0" text="" dxfId="1">
      <formula>AND(P6="YES",O6="Partial")</formula>
    </cfRule>
    <cfRule type="expression" priority="10" aboveAverage="0" equalAverage="0" bottom="0" percent="0" rank="0" text="" dxfId="2">
      <formula>AND(P6="YES",O6="None")</formula>
    </cfRule>
  </conditionalFormatting>
  <conditionalFormatting sqref="Q7">
    <cfRule type="expression" priority="11" aboveAverage="0" equalAverage="0" bottom="0" percent="0" rank="0" text="" dxfId="0">
      <formula>AND(P7="YES",O7="Implemented")</formula>
    </cfRule>
    <cfRule type="expression" priority="12" aboveAverage="0" equalAverage="0" bottom="0" percent="0" rank="0" text="" dxfId="1">
      <formula>AND(P7="YES",O7="Partial")</formula>
    </cfRule>
    <cfRule type="expression" priority="13" aboveAverage="0" equalAverage="0" bottom="0" percent="0" rank="0" text="" dxfId="2">
      <formula>AND(P7="YES",O7="None")</formula>
    </cfRule>
  </conditionalFormatting>
  <conditionalFormatting sqref="Q8">
    <cfRule type="expression" priority="14" aboveAverage="0" equalAverage="0" bottom="0" percent="0" rank="0" text="" dxfId="0">
      <formula>AND(P8="YES",O8="Implemented")</formula>
    </cfRule>
    <cfRule type="expression" priority="15" aboveAverage="0" equalAverage="0" bottom="0" percent="0" rank="0" text="" dxfId="1">
      <formula>AND(P8="YES",O8="Partial")</formula>
    </cfRule>
    <cfRule type="expression" priority="16" aboveAverage="0" equalAverage="0" bottom="0" percent="0" rank="0" text="" dxfId="2">
      <formula>AND(P8="YES",O8="None")</formula>
    </cfRule>
  </conditionalFormatting>
  <conditionalFormatting sqref="Q9">
    <cfRule type="expression" priority="17" aboveAverage="0" equalAverage="0" bottom="0" percent="0" rank="0" text="" dxfId="0">
      <formula>AND(P9="YES",O9="Implemented")</formula>
    </cfRule>
    <cfRule type="expression" priority="18" aboveAverage="0" equalAverage="0" bottom="0" percent="0" rank="0" text="" dxfId="1">
      <formula>AND(P9="YES",O9="Partial")</formula>
    </cfRule>
    <cfRule type="expression" priority="19" aboveAverage="0" equalAverage="0" bottom="0" percent="0" rank="0" text="" dxfId="2">
      <formula>AND(P9="YES",O9="None")</formula>
    </cfRule>
  </conditionalFormatting>
  <conditionalFormatting sqref="Q10">
    <cfRule type="expression" priority="20" aboveAverage="0" equalAverage="0" bottom="0" percent="0" rank="0" text="" dxfId="0">
      <formula>AND(P10="YES",O10="Implemented")</formula>
    </cfRule>
    <cfRule type="expression" priority="21" aboveAverage="0" equalAverage="0" bottom="0" percent="0" rank="0" text="" dxfId="1">
      <formula>AND(P10="YES",O10="Partial")</formula>
    </cfRule>
    <cfRule type="expression" priority="22" aboveAverage="0" equalAverage="0" bottom="0" percent="0" rank="0" text="" dxfId="2">
      <formula>AND(P10="YES",O10="None")</formula>
    </cfRule>
  </conditionalFormatting>
  <conditionalFormatting sqref="Q11">
    <cfRule type="expression" priority="23" aboveAverage="0" equalAverage="0" bottom="0" percent="0" rank="0" text="" dxfId="0">
      <formula>AND(P11="YES",O11="Implemented")</formula>
    </cfRule>
    <cfRule type="expression" priority="24" aboveAverage="0" equalAverage="0" bottom="0" percent="0" rank="0" text="" dxfId="1">
      <formula>AND(P11="YES",O11="Partial")</formula>
    </cfRule>
    <cfRule type="expression" priority="25" aboveAverage="0" equalAverage="0" bottom="0" percent="0" rank="0" text="" dxfId="2">
      <formula>AND(P11="YES",O11="None")</formula>
    </cfRule>
  </conditionalFormatting>
  <conditionalFormatting sqref="Q12">
    <cfRule type="expression" priority="26" aboveAverage="0" equalAverage="0" bottom="0" percent="0" rank="0" text="" dxfId="0">
      <formula>AND(P12="YES",O12="Implemented")</formula>
    </cfRule>
    <cfRule type="expression" priority="27" aboveAverage="0" equalAverage="0" bottom="0" percent="0" rank="0" text="" dxfId="1">
      <formula>AND(P12="YES",O12="Partial")</formula>
    </cfRule>
    <cfRule type="expression" priority="28" aboveAverage="0" equalAverage="0" bottom="0" percent="0" rank="0" text="" dxfId="2">
      <formula>AND(P12="YES",O12="None")</formula>
    </cfRule>
  </conditionalFormatting>
  <conditionalFormatting sqref="Q13">
    <cfRule type="expression" priority="29" aboveAverage="0" equalAverage="0" bottom="0" percent="0" rank="0" text="" dxfId="0">
      <formula>AND(P13="YES",O13="Implemented")</formula>
    </cfRule>
    <cfRule type="expression" priority="30" aboveAverage="0" equalAverage="0" bottom="0" percent="0" rank="0" text="" dxfId="1">
      <formula>AND(P13="YES",O13="Partial")</formula>
    </cfRule>
    <cfRule type="expression" priority="31" aboveAverage="0" equalAverage="0" bottom="0" percent="0" rank="0" text="" dxfId="2">
      <formula>AND(P13="YES",O13="None")</formula>
    </cfRule>
  </conditionalFormatting>
  <conditionalFormatting sqref="Q14">
    <cfRule type="expression" priority="32" aboveAverage="0" equalAverage="0" bottom="0" percent="0" rank="0" text="" dxfId="0">
      <formula>AND(P14="YES",O14="Implemented")</formula>
    </cfRule>
    <cfRule type="expression" priority="33" aboveAverage="0" equalAverage="0" bottom="0" percent="0" rank="0" text="" dxfId="1">
      <formula>AND(P14="YES",O14="Partial")</formula>
    </cfRule>
    <cfRule type="expression" priority="34" aboveAverage="0" equalAverage="0" bottom="0" percent="0" rank="0" text="" dxfId="2">
      <formula>AND(P14="YES",O14="None")</formula>
    </cfRule>
  </conditionalFormatting>
  <conditionalFormatting sqref="Q15">
    <cfRule type="expression" priority="35" aboveAverage="0" equalAverage="0" bottom="0" percent="0" rank="0" text="" dxfId="0">
      <formula>AND(P15="YES",O15="Implemented")</formula>
    </cfRule>
    <cfRule type="expression" priority="36" aboveAverage="0" equalAverage="0" bottom="0" percent="0" rank="0" text="" dxfId="1">
      <formula>AND(P15="YES",O15="Partial")</formula>
    </cfRule>
    <cfRule type="expression" priority="37" aboveAverage="0" equalAverage="0" bottom="0" percent="0" rank="0" text="" dxfId="2">
      <formula>AND(P15="YES",O15="None")</formula>
    </cfRule>
  </conditionalFormatting>
  <conditionalFormatting sqref="Q16">
    <cfRule type="expression" priority="38" aboveAverage="0" equalAverage="0" bottom="0" percent="0" rank="0" text="" dxfId="0">
      <formula>AND(P16="YES",O16="Implemented")</formula>
    </cfRule>
    <cfRule type="expression" priority="39" aboveAverage="0" equalAverage="0" bottom="0" percent="0" rank="0" text="" dxfId="1">
      <formula>AND(P16="YES",O16="Partial")</formula>
    </cfRule>
    <cfRule type="expression" priority="40" aboveAverage="0" equalAverage="0" bottom="0" percent="0" rank="0" text="" dxfId="2">
      <formula>AND(P16="YES",O16="None")</formula>
    </cfRule>
  </conditionalFormatting>
  <conditionalFormatting sqref="Q17">
    <cfRule type="expression" priority="41" aboveAverage="0" equalAverage="0" bottom="0" percent="0" rank="0" text="" dxfId="0">
      <formula>AND(P17="YES",O17="Implemented")</formula>
    </cfRule>
    <cfRule type="expression" priority="42" aboveAverage="0" equalAverage="0" bottom="0" percent="0" rank="0" text="" dxfId="1">
      <formula>AND(P17="YES",O17="Partial")</formula>
    </cfRule>
    <cfRule type="expression" priority="43" aboveAverage="0" equalAverage="0" bottom="0" percent="0" rank="0" text="" dxfId="2">
      <formula>AND(P17="YES",O17="None")</formula>
    </cfRule>
  </conditionalFormatting>
  <conditionalFormatting sqref="Q18">
    <cfRule type="expression" priority="44" aboveAverage="0" equalAverage="0" bottom="0" percent="0" rank="0" text="" dxfId="0">
      <formula>AND(P18="YES",O18="Implemented")</formula>
    </cfRule>
    <cfRule type="expression" priority="45" aboveAverage="0" equalAverage="0" bottom="0" percent="0" rank="0" text="" dxfId="1">
      <formula>AND(P18="YES",O18="Partial")</formula>
    </cfRule>
    <cfRule type="expression" priority="46" aboveAverage="0" equalAverage="0" bottom="0" percent="0" rank="0" text="" dxfId="2">
      <formula>AND(P18="YES",O18="None")</formula>
    </cfRule>
  </conditionalFormatting>
  <conditionalFormatting sqref="Q19">
    <cfRule type="expression" priority="47" aboveAverage="0" equalAverage="0" bottom="0" percent="0" rank="0" text="" dxfId="0">
      <formula>AND(P19="YES",O19="Implemented")</formula>
    </cfRule>
    <cfRule type="expression" priority="48" aboveAverage="0" equalAverage="0" bottom="0" percent="0" rank="0" text="" dxfId="1">
      <formula>AND(P19="YES",O19="Partial")</formula>
    </cfRule>
    <cfRule type="expression" priority="49" aboveAverage="0" equalAverage="0" bottom="0" percent="0" rank="0" text="" dxfId="2">
      <formula>AND(P19="YES",O19="None")</formula>
    </cfRule>
  </conditionalFormatting>
  <conditionalFormatting sqref="Q20">
    <cfRule type="expression" priority="50" aboveAverage="0" equalAverage="0" bottom="0" percent="0" rank="0" text="" dxfId="0">
      <formula>AND(P20="YES",O20="Implemented")</formula>
    </cfRule>
    <cfRule type="expression" priority="51" aboveAverage="0" equalAverage="0" bottom="0" percent="0" rank="0" text="" dxfId="1">
      <formula>AND(P20="YES",O20="Partial")</formula>
    </cfRule>
    <cfRule type="expression" priority="52" aboveAverage="0" equalAverage="0" bottom="0" percent="0" rank="0" text="" dxfId="2">
      <formula>AND(P20="YES",O20="None")</formula>
    </cfRule>
  </conditionalFormatting>
  <conditionalFormatting sqref="Q21">
    <cfRule type="expression" priority="53" aboveAverage="0" equalAverage="0" bottom="0" percent="0" rank="0" text="" dxfId="0">
      <formula>AND(P21="YES",O21="Implemented")</formula>
    </cfRule>
    <cfRule type="expression" priority="54" aboveAverage="0" equalAverage="0" bottom="0" percent="0" rank="0" text="" dxfId="1">
      <formula>AND(P21="YES",O21="Partial")</formula>
    </cfRule>
    <cfRule type="expression" priority="55" aboveAverage="0" equalAverage="0" bottom="0" percent="0" rank="0" text="" dxfId="2">
      <formula>AND(P21="YES",O21="None")</formula>
    </cfRule>
  </conditionalFormatting>
  <conditionalFormatting sqref="Q22">
    <cfRule type="expression" priority="56" aboveAverage="0" equalAverage="0" bottom="0" percent="0" rank="0" text="" dxfId="0">
      <formula>AND(P22="YES",O22="Implemented")</formula>
    </cfRule>
    <cfRule type="expression" priority="57" aboveAverage="0" equalAverage="0" bottom="0" percent="0" rank="0" text="" dxfId="1">
      <formula>AND(P22="YES",O22="Partial")</formula>
    </cfRule>
    <cfRule type="expression" priority="58" aboveAverage="0" equalAverage="0" bottom="0" percent="0" rank="0" text="" dxfId="2">
      <formula>AND(P22="YES",O22="None")</formula>
    </cfRule>
  </conditionalFormatting>
  <conditionalFormatting sqref="Q23">
    <cfRule type="expression" priority="59" aboveAverage="0" equalAverage="0" bottom="0" percent="0" rank="0" text="" dxfId="0">
      <formula>AND(P23="YES",O23="Implemented")</formula>
    </cfRule>
    <cfRule type="expression" priority="60" aboveAverage="0" equalAverage="0" bottom="0" percent="0" rank="0" text="" dxfId="1">
      <formula>AND(P23="YES",O23="Partial")</formula>
    </cfRule>
    <cfRule type="expression" priority="61" aboveAverage="0" equalAverage="0" bottom="0" percent="0" rank="0" text="" dxfId="2">
      <formula>AND(P23="YES",O23="None")</formula>
    </cfRule>
  </conditionalFormatting>
  <conditionalFormatting sqref="Q24">
    <cfRule type="expression" priority="62" aboveAverage="0" equalAverage="0" bottom="0" percent="0" rank="0" text="" dxfId="0">
      <formula>AND(P24="YES",O24="Implemented")</formula>
    </cfRule>
    <cfRule type="expression" priority="63" aboveAverage="0" equalAverage="0" bottom="0" percent="0" rank="0" text="" dxfId="1">
      <formula>AND(P24="YES",O24="Partial")</formula>
    </cfRule>
    <cfRule type="expression" priority="64" aboveAverage="0" equalAverage="0" bottom="0" percent="0" rank="0" text="" dxfId="2">
      <formula>AND(P24="YES",O24="None")</formula>
    </cfRule>
  </conditionalFormatting>
  <dataValidations count="2">
    <dataValidation allowBlank="false" errorStyle="stop" operator="between" showDropDown="false" showErrorMessage="false" showInputMessage="false" sqref="O4:O24" type="list">
      <formula1>"None,Partial,Implemented"</formula1>
      <formula2>0</formula2>
    </dataValidation>
    <dataValidation allowBlank="false" errorStyle="stop" operator="between" showDropDown="false" showErrorMessage="false" showInputMessage="false" sqref="P4:P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55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22"/>
    <col collapsed="false" customWidth="true" hidden="false" outlineLevel="0" max="18" min="18" style="0" width="36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83" t="s">
        <v>296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customFormat="false" ht="43.5" hidden="false" customHeight="true" outlineLevel="0" collapsed="false">
      <c r="A3" s="63" t="s">
        <v>47</v>
      </c>
      <c r="B3" s="63" t="s">
        <v>2</v>
      </c>
      <c r="C3" s="63" t="s">
        <v>50</v>
      </c>
      <c r="D3" s="63" t="s">
        <v>52</v>
      </c>
      <c r="E3" s="63" t="s">
        <v>54</v>
      </c>
      <c r="F3" s="63" t="s">
        <v>56</v>
      </c>
      <c r="G3" s="63" t="s">
        <v>58</v>
      </c>
      <c r="H3" s="63" t="s">
        <v>102</v>
      </c>
      <c r="I3" s="63" t="s">
        <v>103</v>
      </c>
      <c r="J3" s="63" t="s">
        <v>104</v>
      </c>
      <c r="K3" s="63" t="s">
        <v>66</v>
      </c>
      <c r="L3" s="63" t="s">
        <v>68</v>
      </c>
      <c r="M3" s="63" t="s">
        <v>70</v>
      </c>
      <c r="N3" s="63" t="s">
        <v>105</v>
      </c>
      <c r="O3" s="63" t="s">
        <v>74</v>
      </c>
      <c r="P3" s="63" t="s">
        <v>106</v>
      </c>
      <c r="Q3" s="63" t="s">
        <v>78</v>
      </c>
      <c r="R3" s="63" t="s">
        <v>80</v>
      </c>
    </row>
    <row r="4" customFormat="false" ht="55.5" hidden="false" customHeight="true" outlineLevel="0" collapsed="false">
      <c r="A4" s="84" t="s">
        <v>297</v>
      </c>
      <c r="B4" s="65" t="s">
        <v>5</v>
      </c>
      <c r="C4" s="85" t="s">
        <v>298</v>
      </c>
      <c r="D4" s="85" t="s">
        <v>299</v>
      </c>
      <c r="E4" s="85" t="s">
        <v>300</v>
      </c>
      <c r="F4" s="85" t="s">
        <v>301</v>
      </c>
      <c r="G4" s="85" t="s">
        <v>112</v>
      </c>
      <c r="H4" s="86" t="n">
        <v>3</v>
      </c>
      <c r="I4" s="86" t="n">
        <v>4</v>
      </c>
      <c r="J4" s="68" t="n">
        <v>12</v>
      </c>
      <c r="K4" s="69" t="s">
        <v>86</v>
      </c>
      <c r="L4" s="85" t="s">
        <v>302</v>
      </c>
      <c r="M4" s="85" t="s">
        <v>303</v>
      </c>
      <c r="N4" s="85" t="s">
        <v>253</v>
      </c>
      <c r="O4" s="70" t="s">
        <v>116</v>
      </c>
      <c r="P4" s="70" t="s">
        <v>117</v>
      </c>
      <c r="Q4" s="71" t="str">
        <f aca="false">IF(P4="YES",IF(O4="Implemented","✅ Triggered+Mitigated",IF(O4="Partial","⚠️ Partial Controls","❌ Unmitigated")),"— Not Triggered")</f>
        <v>— Not Triggered</v>
      </c>
      <c r="R4" s="85" t="s">
        <v>304</v>
      </c>
    </row>
    <row r="5" customFormat="false" ht="55.5" hidden="false" customHeight="true" outlineLevel="0" collapsed="false">
      <c r="A5" s="87" t="s">
        <v>305</v>
      </c>
      <c r="B5" s="65" t="s">
        <v>5</v>
      </c>
      <c r="C5" s="88" t="s">
        <v>306</v>
      </c>
      <c r="D5" s="88" t="s">
        <v>307</v>
      </c>
      <c r="E5" s="88" t="s">
        <v>308</v>
      </c>
      <c r="F5" s="88" t="s">
        <v>309</v>
      </c>
      <c r="G5" s="88" t="s">
        <v>267</v>
      </c>
      <c r="H5" s="89" t="n">
        <v>5</v>
      </c>
      <c r="I5" s="89" t="n">
        <v>5</v>
      </c>
      <c r="J5" s="76" t="n">
        <v>25</v>
      </c>
      <c r="K5" s="77" t="s">
        <v>85</v>
      </c>
      <c r="L5" s="88" t="s">
        <v>310</v>
      </c>
      <c r="M5" s="88" t="s">
        <v>311</v>
      </c>
      <c r="N5" s="88" t="s">
        <v>270</v>
      </c>
      <c r="O5" s="70" t="s">
        <v>116</v>
      </c>
      <c r="P5" s="70" t="s">
        <v>117</v>
      </c>
      <c r="Q5" s="71" t="str">
        <f aca="false">IF(P5="YES",IF(O5="Implemented","✅ Triggered+Mitigated",IF(O5="Partial","⚠️ Partial Controls","❌ Unmitigated")),"— Not Triggered")</f>
        <v>— Not Triggered</v>
      </c>
      <c r="R5" s="88" t="s">
        <v>312</v>
      </c>
    </row>
    <row r="6" customFormat="false" ht="55.5" hidden="false" customHeight="true" outlineLevel="0" collapsed="false">
      <c r="A6" s="84" t="s">
        <v>313</v>
      </c>
      <c r="B6" s="75" t="s">
        <v>8</v>
      </c>
      <c r="C6" s="85" t="s">
        <v>314</v>
      </c>
      <c r="D6" s="85" t="s">
        <v>315</v>
      </c>
      <c r="E6" s="85" t="s">
        <v>316</v>
      </c>
      <c r="F6" s="85" t="s">
        <v>317</v>
      </c>
      <c r="G6" s="85" t="s">
        <v>134</v>
      </c>
      <c r="H6" s="86" t="n">
        <v>4</v>
      </c>
      <c r="I6" s="86" t="n">
        <v>3</v>
      </c>
      <c r="J6" s="68" t="n">
        <v>12</v>
      </c>
      <c r="K6" s="69" t="s">
        <v>86</v>
      </c>
      <c r="L6" s="85" t="s">
        <v>318</v>
      </c>
      <c r="M6" s="85" t="s">
        <v>319</v>
      </c>
      <c r="N6" s="85" t="s">
        <v>320</v>
      </c>
      <c r="O6" s="70" t="s">
        <v>116</v>
      </c>
      <c r="P6" s="70" t="s">
        <v>117</v>
      </c>
      <c r="Q6" s="71" t="str">
        <f aca="false">IF(P6="YES",IF(O6="Implemented","✅ Triggered+Mitigated",IF(O6="Partial","⚠️ Partial Controls","❌ Unmitigated")),"— Not Triggered")</f>
        <v>— Not Triggered</v>
      </c>
      <c r="R6" s="85" t="s">
        <v>321</v>
      </c>
    </row>
    <row r="7" customFormat="false" ht="55.5" hidden="false" customHeight="true" outlineLevel="0" collapsed="false">
      <c r="A7" s="87" t="s">
        <v>322</v>
      </c>
      <c r="B7" s="75" t="s">
        <v>8</v>
      </c>
      <c r="C7" s="88" t="s">
        <v>323</v>
      </c>
      <c r="D7" s="88" t="s">
        <v>324</v>
      </c>
      <c r="E7" s="88" t="s">
        <v>325</v>
      </c>
      <c r="F7" s="88" t="s">
        <v>326</v>
      </c>
      <c r="G7" s="88" t="s">
        <v>134</v>
      </c>
      <c r="H7" s="89" t="n">
        <v>5</v>
      </c>
      <c r="I7" s="89" t="n">
        <v>4</v>
      </c>
      <c r="J7" s="76" t="n">
        <v>20</v>
      </c>
      <c r="K7" s="77" t="s">
        <v>85</v>
      </c>
      <c r="L7" s="88" t="s">
        <v>327</v>
      </c>
      <c r="M7" s="88" t="s">
        <v>328</v>
      </c>
      <c r="N7" s="88" t="s">
        <v>329</v>
      </c>
      <c r="O7" s="70" t="s">
        <v>116</v>
      </c>
      <c r="P7" s="70" t="s">
        <v>117</v>
      </c>
      <c r="Q7" s="71" t="str">
        <f aca="false">IF(P7="YES",IF(O7="Implemented","✅ Triggered+Mitigated",IF(O7="Partial","⚠️ Partial Controls","❌ Unmitigated")),"— Not Triggered")</f>
        <v>— Not Triggered</v>
      </c>
      <c r="R7" s="88" t="s">
        <v>330</v>
      </c>
    </row>
    <row r="8" customFormat="false" ht="55.5" hidden="false" customHeight="true" outlineLevel="0" collapsed="false">
      <c r="A8" s="84" t="s">
        <v>331</v>
      </c>
      <c r="B8" s="78" t="s">
        <v>11</v>
      </c>
      <c r="C8" s="85" t="s">
        <v>332</v>
      </c>
      <c r="D8" s="85" t="s">
        <v>333</v>
      </c>
      <c r="E8" s="85" t="s">
        <v>334</v>
      </c>
      <c r="F8" s="85" t="s">
        <v>335</v>
      </c>
      <c r="G8" s="85" t="s">
        <v>267</v>
      </c>
      <c r="H8" s="86" t="n">
        <v>3</v>
      </c>
      <c r="I8" s="86" t="n">
        <v>4</v>
      </c>
      <c r="J8" s="68" t="n">
        <v>12</v>
      </c>
      <c r="K8" s="69" t="s">
        <v>86</v>
      </c>
      <c r="L8" s="85" t="s">
        <v>336</v>
      </c>
      <c r="M8" s="85" t="s">
        <v>337</v>
      </c>
      <c r="N8" s="85" t="s">
        <v>338</v>
      </c>
      <c r="O8" s="70" t="s">
        <v>116</v>
      </c>
      <c r="P8" s="70" t="s">
        <v>117</v>
      </c>
      <c r="Q8" s="71" t="str">
        <f aca="false">IF(P8="YES",IF(O8="Implemented","✅ Triggered+Mitigated",IF(O8="Partial","⚠️ Partial Controls","❌ Unmitigated")),"— Not Triggered")</f>
        <v>— Not Triggered</v>
      </c>
      <c r="R8" s="85" t="s">
        <v>339</v>
      </c>
    </row>
    <row r="9" customFormat="false" ht="55.5" hidden="false" customHeight="true" outlineLevel="0" collapsed="false">
      <c r="A9" s="87" t="s">
        <v>340</v>
      </c>
      <c r="B9" s="78" t="s">
        <v>11</v>
      </c>
      <c r="C9" s="88" t="s">
        <v>341</v>
      </c>
      <c r="D9" s="88" t="s">
        <v>342</v>
      </c>
      <c r="E9" s="88" t="s">
        <v>343</v>
      </c>
      <c r="F9" s="88" t="s">
        <v>344</v>
      </c>
      <c r="G9" s="88" t="s">
        <v>112</v>
      </c>
      <c r="H9" s="89" t="n">
        <v>3</v>
      </c>
      <c r="I9" s="89" t="n">
        <v>5</v>
      </c>
      <c r="J9" s="68" t="n">
        <v>15</v>
      </c>
      <c r="K9" s="69" t="s">
        <v>86</v>
      </c>
      <c r="L9" s="88" t="s">
        <v>345</v>
      </c>
      <c r="M9" s="88" t="s">
        <v>346</v>
      </c>
      <c r="N9" s="88" t="s">
        <v>347</v>
      </c>
      <c r="O9" s="70" t="s">
        <v>116</v>
      </c>
      <c r="P9" s="70" t="s">
        <v>117</v>
      </c>
      <c r="Q9" s="71" t="str">
        <f aca="false">IF(P9="YES",IF(O9="Implemented","✅ Triggered+Mitigated",IF(O9="Partial","⚠️ Partial Controls","❌ Unmitigated")),"— Not Triggered")</f>
        <v>— Not Triggered</v>
      </c>
      <c r="R9" s="88" t="s">
        <v>348</v>
      </c>
    </row>
    <row r="10" customFormat="false" ht="55.5" hidden="false" customHeight="true" outlineLevel="0" collapsed="false">
      <c r="A10" s="84" t="s">
        <v>349</v>
      </c>
      <c r="B10" s="78" t="s">
        <v>11</v>
      </c>
      <c r="C10" s="85" t="s">
        <v>350</v>
      </c>
      <c r="D10" s="85" t="s">
        <v>351</v>
      </c>
      <c r="E10" s="85" t="s">
        <v>352</v>
      </c>
      <c r="F10" s="85" t="s">
        <v>353</v>
      </c>
      <c r="G10" s="85" t="s">
        <v>134</v>
      </c>
      <c r="H10" s="86" t="n">
        <v>3</v>
      </c>
      <c r="I10" s="86" t="n">
        <v>4</v>
      </c>
      <c r="J10" s="68" t="n">
        <v>12</v>
      </c>
      <c r="K10" s="69" t="s">
        <v>86</v>
      </c>
      <c r="L10" s="85" t="s">
        <v>354</v>
      </c>
      <c r="M10" s="85" t="s">
        <v>355</v>
      </c>
      <c r="N10" s="85" t="s">
        <v>146</v>
      </c>
      <c r="O10" s="70" t="s">
        <v>116</v>
      </c>
      <c r="P10" s="70" t="s">
        <v>117</v>
      </c>
      <c r="Q10" s="71" t="str">
        <f aca="false">IF(P10="YES",IF(O10="Implemented","✅ Triggered+Mitigated",IF(O10="Partial","⚠️ Partial Controls","❌ Unmitigated")),"— Not Triggered")</f>
        <v>— Not Triggered</v>
      </c>
      <c r="R10" s="85" t="s">
        <v>356</v>
      </c>
    </row>
    <row r="11" customFormat="false" ht="55.5" hidden="false" customHeight="true" outlineLevel="0" collapsed="false">
      <c r="A11" s="87" t="s">
        <v>357</v>
      </c>
      <c r="B11" s="79" t="s">
        <v>14</v>
      </c>
      <c r="C11" s="88" t="s">
        <v>358</v>
      </c>
      <c r="D11" s="88" t="s">
        <v>359</v>
      </c>
      <c r="E11" s="88" t="s">
        <v>360</v>
      </c>
      <c r="F11" s="88" t="s">
        <v>361</v>
      </c>
      <c r="G11" s="88" t="s">
        <v>190</v>
      </c>
      <c r="H11" s="89" t="n">
        <v>3</v>
      </c>
      <c r="I11" s="89" t="n">
        <v>4</v>
      </c>
      <c r="J11" s="68" t="n">
        <v>12</v>
      </c>
      <c r="K11" s="69" t="s">
        <v>86</v>
      </c>
      <c r="L11" s="88" t="s">
        <v>362</v>
      </c>
      <c r="M11" s="88" t="s">
        <v>363</v>
      </c>
      <c r="N11" s="88" t="s">
        <v>253</v>
      </c>
      <c r="O11" s="70" t="s">
        <v>116</v>
      </c>
      <c r="P11" s="70" t="s">
        <v>117</v>
      </c>
      <c r="Q11" s="71" t="str">
        <f aca="false">IF(P11="YES",IF(O11="Implemented","✅ Triggered+Mitigated",IF(O11="Partial","⚠️ Partial Controls","❌ Unmitigated")),"— Not Triggered")</f>
        <v>— Not Triggered</v>
      </c>
      <c r="R11" s="88" t="s">
        <v>364</v>
      </c>
    </row>
    <row r="12" customFormat="false" ht="55.5" hidden="false" customHeight="true" outlineLevel="0" collapsed="false">
      <c r="A12" s="84" t="s">
        <v>365</v>
      </c>
      <c r="B12" s="79" t="s">
        <v>14</v>
      </c>
      <c r="C12" s="85" t="s">
        <v>366</v>
      </c>
      <c r="D12" s="85" t="s">
        <v>367</v>
      </c>
      <c r="E12" s="85" t="s">
        <v>368</v>
      </c>
      <c r="F12" s="85" t="s">
        <v>369</v>
      </c>
      <c r="G12" s="85" t="s">
        <v>200</v>
      </c>
      <c r="H12" s="86" t="n">
        <v>3</v>
      </c>
      <c r="I12" s="86" t="n">
        <v>5</v>
      </c>
      <c r="J12" s="68" t="n">
        <v>15</v>
      </c>
      <c r="K12" s="69" t="s">
        <v>86</v>
      </c>
      <c r="L12" s="85" t="s">
        <v>370</v>
      </c>
      <c r="M12" s="85" t="s">
        <v>371</v>
      </c>
      <c r="N12" s="85" t="s">
        <v>146</v>
      </c>
      <c r="O12" s="70" t="s">
        <v>116</v>
      </c>
      <c r="P12" s="70" t="s">
        <v>117</v>
      </c>
      <c r="Q12" s="71" t="str">
        <f aca="false">IF(P12="YES",IF(O12="Implemented","✅ Triggered+Mitigated",IF(O12="Partial","⚠️ Partial Controls","❌ Unmitigated")),"— Not Triggered")</f>
        <v>— Not Triggered</v>
      </c>
      <c r="R12" s="85" t="s">
        <v>372</v>
      </c>
    </row>
    <row r="13" customFormat="false" ht="55.5" hidden="false" customHeight="true" outlineLevel="0" collapsed="false">
      <c r="A13" s="87" t="s">
        <v>373</v>
      </c>
      <c r="B13" s="79" t="s">
        <v>14</v>
      </c>
      <c r="C13" s="88" t="s">
        <v>374</v>
      </c>
      <c r="D13" s="88" t="s">
        <v>375</v>
      </c>
      <c r="E13" s="88" t="s">
        <v>376</v>
      </c>
      <c r="F13" s="88" t="s">
        <v>377</v>
      </c>
      <c r="G13" s="88" t="s">
        <v>267</v>
      </c>
      <c r="H13" s="89" t="n">
        <v>4</v>
      </c>
      <c r="I13" s="89" t="n">
        <v>4</v>
      </c>
      <c r="J13" s="68" t="n">
        <v>16</v>
      </c>
      <c r="K13" s="69" t="s">
        <v>86</v>
      </c>
      <c r="L13" s="88" t="s">
        <v>378</v>
      </c>
      <c r="M13" s="88" t="s">
        <v>379</v>
      </c>
      <c r="N13" s="88" t="s">
        <v>380</v>
      </c>
      <c r="O13" s="70" t="s">
        <v>116</v>
      </c>
      <c r="P13" s="70" t="s">
        <v>117</v>
      </c>
      <c r="Q13" s="71" t="str">
        <f aca="false">IF(P13="YES",IF(O13="Implemented","✅ Triggered+Mitigated",IF(O13="Partial","⚠️ Partial Controls","❌ Unmitigated")),"— Not Triggered")</f>
        <v>— Not Triggered</v>
      </c>
      <c r="R13" s="88" t="s">
        <v>381</v>
      </c>
    </row>
    <row r="14" customFormat="false" ht="55.5" hidden="false" customHeight="true" outlineLevel="0" collapsed="false">
      <c r="A14" s="84" t="s">
        <v>382</v>
      </c>
      <c r="B14" s="80" t="s">
        <v>17</v>
      </c>
      <c r="C14" s="85" t="s">
        <v>383</v>
      </c>
      <c r="D14" s="85" t="s">
        <v>384</v>
      </c>
      <c r="E14" s="85" t="s">
        <v>385</v>
      </c>
      <c r="F14" s="85" t="s">
        <v>386</v>
      </c>
      <c r="G14" s="85" t="s">
        <v>134</v>
      </c>
      <c r="H14" s="86" t="n">
        <v>4</v>
      </c>
      <c r="I14" s="86" t="n">
        <v>4</v>
      </c>
      <c r="J14" s="68" t="n">
        <v>16</v>
      </c>
      <c r="K14" s="69" t="s">
        <v>86</v>
      </c>
      <c r="L14" s="85" t="s">
        <v>387</v>
      </c>
      <c r="M14" s="85" t="s">
        <v>388</v>
      </c>
      <c r="N14" s="85" t="s">
        <v>226</v>
      </c>
      <c r="O14" s="70" t="s">
        <v>116</v>
      </c>
      <c r="P14" s="70" t="s">
        <v>117</v>
      </c>
      <c r="Q14" s="71" t="str">
        <f aca="false">IF(P14="YES",IF(O14="Implemented","✅ Triggered+Mitigated",IF(O14="Partial","⚠️ Partial Controls","❌ Unmitigated")),"— Not Triggered")</f>
        <v>— Not Triggered</v>
      </c>
      <c r="R14" s="85" t="s">
        <v>389</v>
      </c>
    </row>
    <row r="15" customFormat="false" ht="55.5" hidden="false" customHeight="true" outlineLevel="0" collapsed="false">
      <c r="A15" s="87" t="s">
        <v>390</v>
      </c>
      <c r="B15" s="80" t="s">
        <v>17</v>
      </c>
      <c r="C15" s="88" t="s">
        <v>391</v>
      </c>
      <c r="D15" s="88" t="s">
        <v>392</v>
      </c>
      <c r="E15" s="88" t="s">
        <v>393</v>
      </c>
      <c r="F15" s="88" t="s">
        <v>394</v>
      </c>
      <c r="G15" s="88" t="s">
        <v>171</v>
      </c>
      <c r="H15" s="89" t="n">
        <v>3</v>
      </c>
      <c r="I15" s="89" t="n">
        <v>4</v>
      </c>
      <c r="J15" s="68" t="n">
        <v>12</v>
      </c>
      <c r="K15" s="69" t="s">
        <v>86</v>
      </c>
      <c r="L15" s="88" t="s">
        <v>395</v>
      </c>
      <c r="M15" s="88" t="s">
        <v>396</v>
      </c>
      <c r="N15" s="88" t="s">
        <v>146</v>
      </c>
      <c r="O15" s="70" t="s">
        <v>116</v>
      </c>
      <c r="P15" s="70" t="s">
        <v>117</v>
      </c>
      <c r="Q15" s="71" t="str">
        <f aca="false">IF(P15="YES",IF(O15="Implemented","✅ Triggered+Mitigated",IF(O15="Partial","⚠️ Partial Controls","❌ Unmitigated")),"— Not Triggered")</f>
        <v>— Not Triggered</v>
      </c>
      <c r="R15" s="88" t="s">
        <v>397</v>
      </c>
    </row>
    <row r="16" customFormat="false" ht="55.5" hidden="false" customHeight="true" outlineLevel="0" collapsed="false">
      <c r="A16" s="84" t="s">
        <v>398</v>
      </c>
      <c r="B16" s="80" t="s">
        <v>17</v>
      </c>
      <c r="C16" s="85" t="s">
        <v>399</v>
      </c>
      <c r="D16" s="85" t="s">
        <v>400</v>
      </c>
      <c r="E16" s="85" t="s">
        <v>401</v>
      </c>
      <c r="F16" s="85" t="s">
        <v>402</v>
      </c>
      <c r="G16" s="85" t="s">
        <v>134</v>
      </c>
      <c r="H16" s="86" t="n">
        <v>4</v>
      </c>
      <c r="I16" s="86" t="n">
        <v>4</v>
      </c>
      <c r="J16" s="68" t="n">
        <v>16</v>
      </c>
      <c r="K16" s="69" t="s">
        <v>86</v>
      </c>
      <c r="L16" s="85" t="s">
        <v>403</v>
      </c>
      <c r="M16" s="85" t="s">
        <v>404</v>
      </c>
      <c r="N16" s="85" t="s">
        <v>244</v>
      </c>
      <c r="O16" s="70" t="s">
        <v>116</v>
      </c>
      <c r="P16" s="70" t="s">
        <v>117</v>
      </c>
      <c r="Q16" s="71" t="str">
        <f aca="false">IF(P16="YES",IF(O16="Implemented","✅ Triggered+Mitigated",IF(O16="Partial","⚠️ Partial Controls","❌ Unmitigated")),"— Not Triggered")</f>
        <v>— Not Triggered</v>
      </c>
      <c r="R16" s="85" t="s">
        <v>405</v>
      </c>
    </row>
    <row r="17" customFormat="false" ht="55.5" hidden="false" customHeight="true" outlineLevel="0" collapsed="false">
      <c r="A17" s="87" t="s">
        <v>406</v>
      </c>
      <c r="B17" s="81" t="s">
        <v>20</v>
      </c>
      <c r="C17" s="88" t="s">
        <v>407</v>
      </c>
      <c r="D17" s="88" t="s">
        <v>408</v>
      </c>
      <c r="E17" s="88" t="s">
        <v>409</v>
      </c>
      <c r="F17" s="88" t="s">
        <v>410</v>
      </c>
      <c r="G17" s="88" t="s">
        <v>267</v>
      </c>
      <c r="H17" s="89" t="n">
        <v>4</v>
      </c>
      <c r="I17" s="89" t="n">
        <v>5</v>
      </c>
      <c r="J17" s="76" t="n">
        <v>20</v>
      </c>
      <c r="K17" s="77" t="s">
        <v>85</v>
      </c>
      <c r="L17" s="88" t="s">
        <v>411</v>
      </c>
      <c r="M17" s="88" t="s">
        <v>412</v>
      </c>
      <c r="N17" s="88" t="s">
        <v>270</v>
      </c>
      <c r="O17" s="70" t="s">
        <v>116</v>
      </c>
      <c r="P17" s="70" t="s">
        <v>117</v>
      </c>
      <c r="Q17" s="71" t="str">
        <f aca="false">IF(P17="YES",IF(O17="Implemented","✅ Triggered+Mitigated",IF(O17="Partial","⚠️ Partial Controls","❌ Unmitigated")),"— Not Triggered")</f>
        <v>— Not Triggered</v>
      </c>
      <c r="R17" s="88" t="s">
        <v>413</v>
      </c>
    </row>
    <row r="18" customFormat="false" ht="55.5" hidden="false" customHeight="true" outlineLevel="0" collapsed="false">
      <c r="A18" s="84" t="s">
        <v>414</v>
      </c>
      <c r="B18" s="81" t="s">
        <v>20</v>
      </c>
      <c r="C18" s="85" t="s">
        <v>415</v>
      </c>
      <c r="D18" s="85" t="s">
        <v>416</v>
      </c>
      <c r="E18" s="85" t="s">
        <v>417</v>
      </c>
      <c r="F18" s="85" t="s">
        <v>418</v>
      </c>
      <c r="G18" s="85" t="s">
        <v>267</v>
      </c>
      <c r="H18" s="86" t="n">
        <v>4</v>
      </c>
      <c r="I18" s="86" t="n">
        <v>3</v>
      </c>
      <c r="J18" s="68" t="n">
        <v>12</v>
      </c>
      <c r="K18" s="69" t="s">
        <v>86</v>
      </c>
      <c r="L18" s="85" t="s">
        <v>419</v>
      </c>
      <c r="M18" s="85" t="s">
        <v>420</v>
      </c>
      <c r="N18" s="85" t="s">
        <v>421</v>
      </c>
      <c r="O18" s="70" t="s">
        <v>116</v>
      </c>
      <c r="P18" s="70" t="s">
        <v>117</v>
      </c>
      <c r="Q18" s="71" t="str">
        <f aca="false">IF(P18="YES",IF(O18="Implemented","✅ Triggered+Mitigated",IF(O18="Partial","⚠️ Partial Controls","❌ Unmitigated")),"— Not Triggered")</f>
        <v>— Not Triggered</v>
      </c>
      <c r="R18" s="85" t="s">
        <v>422</v>
      </c>
    </row>
    <row r="19" customFormat="false" ht="55.5" hidden="false" customHeight="true" outlineLevel="0" collapsed="false">
      <c r="A19" s="87" t="s">
        <v>423</v>
      </c>
      <c r="B19" s="81" t="s">
        <v>20</v>
      </c>
      <c r="C19" s="88" t="s">
        <v>424</v>
      </c>
      <c r="D19" s="88" t="s">
        <v>425</v>
      </c>
      <c r="E19" s="88" t="s">
        <v>426</v>
      </c>
      <c r="F19" s="88" t="s">
        <v>427</v>
      </c>
      <c r="G19" s="88" t="s">
        <v>233</v>
      </c>
      <c r="H19" s="89" t="n">
        <v>4</v>
      </c>
      <c r="I19" s="89" t="n">
        <v>4</v>
      </c>
      <c r="J19" s="68" t="n">
        <v>16</v>
      </c>
      <c r="K19" s="69" t="s">
        <v>86</v>
      </c>
      <c r="L19" s="88" t="s">
        <v>428</v>
      </c>
      <c r="M19" s="88" t="s">
        <v>429</v>
      </c>
      <c r="N19" s="88" t="s">
        <v>226</v>
      </c>
      <c r="O19" s="70" t="s">
        <v>116</v>
      </c>
      <c r="P19" s="70" t="s">
        <v>117</v>
      </c>
      <c r="Q19" s="71" t="str">
        <f aca="false">IF(P19="YES",IF(O19="Implemented","✅ Triggered+Mitigated",IF(O19="Partial","⚠️ Partial Controls","❌ Unmitigated")),"— Not Triggered")</f>
        <v>— Not Triggered</v>
      </c>
      <c r="R19" s="88" t="s">
        <v>430</v>
      </c>
    </row>
    <row r="20" customFormat="false" ht="55.5" hidden="false" customHeight="true" outlineLevel="0" collapsed="false">
      <c r="A20" s="84" t="s">
        <v>431</v>
      </c>
      <c r="B20" s="82" t="s">
        <v>23</v>
      </c>
      <c r="C20" s="85" t="s">
        <v>432</v>
      </c>
      <c r="D20" s="85" t="s">
        <v>433</v>
      </c>
      <c r="E20" s="85" t="s">
        <v>434</v>
      </c>
      <c r="F20" s="85" t="s">
        <v>435</v>
      </c>
      <c r="G20" s="85" t="s">
        <v>134</v>
      </c>
      <c r="H20" s="86" t="n">
        <v>3</v>
      </c>
      <c r="I20" s="86" t="n">
        <v>5</v>
      </c>
      <c r="J20" s="68" t="n">
        <v>15</v>
      </c>
      <c r="K20" s="69" t="s">
        <v>86</v>
      </c>
      <c r="L20" s="85" t="s">
        <v>436</v>
      </c>
      <c r="M20" s="85" t="s">
        <v>437</v>
      </c>
      <c r="N20" s="85" t="s">
        <v>253</v>
      </c>
      <c r="O20" s="70" t="s">
        <v>116</v>
      </c>
      <c r="P20" s="70" t="s">
        <v>117</v>
      </c>
      <c r="Q20" s="71" t="str">
        <f aca="false">IF(P20="YES",IF(O20="Implemented","✅ Triggered+Mitigated",IF(O20="Partial","⚠️ Partial Controls","❌ Unmitigated")),"— Not Triggered")</f>
        <v>— Not Triggered</v>
      </c>
      <c r="R20" s="85" t="s">
        <v>438</v>
      </c>
    </row>
    <row r="21" customFormat="false" ht="55.5" hidden="false" customHeight="true" outlineLevel="0" collapsed="false">
      <c r="A21" s="87" t="s">
        <v>439</v>
      </c>
      <c r="B21" s="82" t="s">
        <v>23</v>
      </c>
      <c r="C21" s="88" t="s">
        <v>440</v>
      </c>
      <c r="D21" s="88" t="s">
        <v>441</v>
      </c>
      <c r="E21" s="88" t="s">
        <v>442</v>
      </c>
      <c r="F21" s="88" t="s">
        <v>443</v>
      </c>
      <c r="G21" s="88" t="s">
        <v>267</v>
      </c>
      <c r="H21" s="89" t="n">
        <v>3</v>
      </c>
      <c r="I21" s="89" t="n">
        <v>4</v>
      </c>
      <c r="J21" s="68" t="n">
        <v>12</v>
      </c>
      <c r="K21" s="69" t="s">
        <v>86</v>
      </c>
      <c r="L21" s="88" t="s">
        <v>444</v>
      </c>
      <c r="M21" s="88" t="s">
        <v>445</v>
      </c>
      <c r="N21" s="88" t="s">
        <v>270</v>
      </c>
      <c r="O21" s="70" t="s">
        <v>116</v>
      </c>
      <c r="P21" s="70" t="s">
        <v>117</v>
      </c>
      <c r="Q21" s="71" t="str">
        <f aca="false">IF(P21="YES",IF(O21="Implemented","✅ Triggered+Mitigated",IF(O21="Partial","⚠️ Partial Controls","❌ Unmitigated")),"— Not Triggered")</f>
        <v>— Not Triggered</v>
      </c>
      <c r="R21" s="88" t="s">
        <v>446</v>
      </c>
    </row>
    <row r="22" customFormat="false" ht="55.5" hidden="false" customHeight="true" outlineLevel="0" collapsed="false">
      <c r="A22" s="84" t="s">
        <v>447</v>
      </c>
      <c r="B22" s="82" t="s">
        <v>23</v>
      </c>
      <c r="C22" s="85" t="s">
        <v>448</v>
      </c>
      <c r="D22" s="85" t="s">
        <v>449</v>
      </c>
      <c r="E22" s="85" t="s">
        <v>450</v>
      </c>
      <c r="F22" s="85" t="s">
        <v>451</v>
      </c>
      <c r="G22" s="85" t="s">
        <v>134</v>
      </c>
      <c r="H22" s="86" t="n">
        <v>3</v>
      </c>
      <c r="I22" s="86" t="n">
        <v>4</v>
      </c>
      <c r="J22" s="68" t="n">
        <v>12</v>
      </c>
      <c r="K22" s="69" t="s">
        <v>86</v>
      </c>
      <c r="L22" s="85" t="s">
        <v>452</v>
      </c>
      <c r="M22" s="85" t="s">
        <v>453</v>
      </c>
      <c r="N22" s="85" t="s">
        <v>253</v>
      </c>
      <c r="O22" s="70" t="s">
        <v>116</v>
      </c>
      <c r="P22" s="70" t="s">
        <v>117</v>
      </c>
      <c r="Q22" s="71" t="str">
        <f aca="false">IF(P22="YES",IF(O22="Implemented","✅ Triggered+Mitigated",IF(O22="Partial","⚠️ Partial Controls","❌ Unmitigated")),"— Not Triggered")</f>
        <v>— Not Triggered</v>
      </c>
      <c r="R22" s="85" t="s">
        <v>454</v>
      </c>
    </row>
  </sheetData>
  <mergeCells count="1">
    <mergeCell ref="A2:R2"/>
  </mergeCells>
  <conditionalFormatting sqref="Q4">
    <cfRule type="expression" priority="2" aboveAverage="0" equalAverage="0" bottom="0" percent="0" rank="0" text="" dxfId="0">
      <formula>AND(P4="YES",O4="Implemented")</formula>
    </cfRule>
    <cfRule type="expression" priority="3" aboveAverage="0" equalAverage="0" bottom="0" percent="0" rank="0" text="" dxfId="1">
      <formula>AND(P4="YES",O4="Partial")</formula>
    </cfRule>
    <cfRule type="expression" priority="4" aboveAverage="0" equalAverage="0" bottom="0" percent="0" rank="0" text="" dxfId="2">
      <formula>AND(P4="YES",O4="None")</formula>
    </cfRule>
  </conditionalFormatting>
  <conditionalFormatting sqref="Q5">
    <cfRule type="expression" priority="5" aboveAverage="0" equalAverage="0" bottom="0" percent="0" rank="0" text="" dxfId="0">
      <formula>AND(P5="YES",O5="Implemented")</formula>
    </cfRule>
    <cfRule type="expression" priority="6" aboveAverage="0" equalAverage="0" bottom="0" percent="0" rank="0" text="" dxfId="1">
      <formula>AND(P5="YES",O5="Partial")</formula>
    </cfRule>
    <cfRule type="expression" priority="7" aboveAverage="0" equalAverage="0" bottom="0" percent="0" rank="0" text="" dxfId="2">
      <formula>AND(P5="YES",O5="None")</formula>
    </cfRule>
  </conditionalFormatting>
  <conditionalFormatting sqref="Q6">
    <cfRule type="expression" priority="8" aboveAverage="0" equalAverage="0" bottom="0" percent="0" rank="0" text="" dxfId="0">
      <formula>AND(P6="YES",O6="Implemented")</formula>
    </cfRule>
    <cfRule type="expression" priority="9" aboveAverage="0" equalAverage="0" bottom="0" percent="0" rank="0" text="" dxfId="1">
      <formula>AND(P6="YES",O6="Partial")</formula>
    </cfRule>
    <cfRule type="expression" priority="10" aboveAverage="0" equalAverage="0" bottom="0" percent="0" rank="0" text="" dxfId="2">
      <formula>AND(P6="YES",O6="None")</formula>
    </cfRule>
  </conditionalFormatting>
  <conditionalFormatting sqref="Q7">
    <cfRule type="expression" priority="11" aboveAverage="0" equalAverage="0" bottom="0" percent="0" rank="0" text="" dxfId="0">
      <formula>AND(P7="YES",O7="Implemented")</formula>
    </cfRule>
    <cfRule type="expression" priority="12" aboveAverage="0" equalAverage="0" bottom="0" percent="0" rank="0" text="" dxfId="1">
      <formula>AND(P7="YES",O7="Partial")</formula>
    </cfRule>
    <cfRule type="expression" priority="13" aboveAverage="0" equalAverage="0" bottom="0" percent="0" rank="0" text="" dxfId="2">
      <formula>AND(P7="YES",O7="None")</formula>
    </cfRule>
  </conditionalFormatting>
  <conditionalFormatting sqref="Q8">
    <cfRule type="expression" priority="14" aboveAverage="0" equalAverage="0" bottom="0" percent="0" rank="0" text="" dxfId="0">
      <formula>AND(P8="YES",O8="Implemented")</formula>
    </cfRule>
    <cfRule type="expression" priority="15" aboveAverage="0" equalAverage="0" bottom="0" percent="0" rank="0" text="" dxfId="1">
      <formula>AND(P8="YES",O8="Partial")</formula>
    </cfRule>
    <cfRule type="expression" priority="16" aboveAverage="0" equalAverage="0" bottom="0" percent="0" rank="0" text="" dxfId="2">
      <formula>AND(P8="YES",O8="None")</formula>
    </cfRule>
  </conditionalFormatting>
  <conditionalFormatting sqref="Q9">
    <cfRule type="expression" priority="17" aboveAverage="0" equalAverage="0" bottom="0" percent="0" rank="0" text="" dxfId="0">
      <formula>AND(P9="YES",O9="Implemented")</formula>
    </cfRule>
    <cfRule type="expression" priority="18" aboveAverage="0" equalAverage="0" bottom="0" percent="0" rank="0" text="" dxfId="1">
      <formula>AND(P9="YES",O9="Partial")</formula>
    </cfRule>
    <cfRule type="expression" priority="19" aboveAverage="0" equalAverage="0" bottom="0" percent="0" rank="0" text="" dxfId="2">
      <formula>AND(P9="YES",O9="None")</formula>
    </cfRule>
  </conditionalFormatting>
  <conditionalFormatting sqref="Q10">
    <cfRule type="expression" priority="20" aboveAverage="0" equalAverage="0" bottom="0" percent="0" rank="0" text="" dxfId="0">
      <formula>AND(P10="YES",O10="Implemented")</formula>
    </cfRule>
    <cfRule type="expression" priority="21" aboveAverage="0" equalAverage="0" bottom="0" percent="0" rank="0" text="" dxfId="1">
      <formula>AND(P10="YES",O10="Partial")</formula>
    </cfRule>
    <cfRule type="expression" priority="22" aboveAverage="0" equalAverage="0" bottom="0" percent="0" rank="0" text="" dxfId="2">
      <formula>AND(P10="YES",O10="None")</formula>
    </cfRule>
  </conditionalFormatting>
  <conditionalFormatting sqref="Q11">
    <cfRule type="expression" priority="23" aboveAverage="0" equalAverage="0" bottom="0" percent="0" rank="0" text="" dxfId="0">
      <formula>AND(P11="YES",O11="Implemented")</formula>
    </cfRule>
    <cfRule type="expression" priority="24" aboveAverage="0" equalAverage="0" bottom="0" percent="0" rank="0" text="" dxfId="1">
      <formula>AND(P11="YES",O11="Partial")</formula>
    </cfRule>
    <cfRule type="expression" priority="25" aboveAverage="0" equalAverage="0" bottom="0" percent="0" rank="0" text="" dxfId="2">
      <formula>AND(P11="YES",O11="None")</formula>
    </cfRule>
  </conditionalFormatting>
  <conditionalFormatting sqref="Q12">
    <cfRule type="expression" priority="26" aboveAverage="0" equalAverage="0" bottom="0" percent="0" rank="0" text="" dxfId="0">
      <formula>AND(P12="YES",O12="Implemented")</formula>
    </cfRule>
    <cfRule type="expression" priority="27" aboveAverage="0" equalAverage="0" bottom="0" percent="0" rank="0" text="" dxfId="1">
      <formula>AND(P12="YES",O12="Partial")</formula>
    </cfRule>
    <cfRule type="expression" priority="28" aboveAverage="0" equalAverage="0" bottom="0" percent="0" rank="0" text="" dxfId="2">
      <formula>AND(P12="YES",O12="None")</formula>
    </cfRule>
  </conditionalFormatting>
  <conditionalFormatting sqref="Q13">
    <cfRule type="expression" priority="29" aboveAverage="0" equalAverage="0" bottom="0" percent="0" rank="0" text="" dxfId="0">
      <formula>AND(P13="YES",O13="Implemented")</formula>
    </cfRule>
    <cfRule type="expression" priority="30" aboveAverage="0" equalAverage="0" bottom="0" percent="0" rank="0" text="" dxfId="1">
      <formula>AND(P13="YES",O13="Partial")</formula>
    </cfRule>
    <cfRule type="expression" priority="31" aboveAverage="0" equalAverage="0" bottom="0" percent="0" rank="0" text="" dxfId="2">
      <formula>AND(P13="YES",O13="None")</formula>
    </cfRule>
  </conditionalFormatting>
  <conditionalFormatting sqref="Q14">
    <cfRule type="expression" priority="32" aboveAverage="0" equalAverage="0" bottom="0" percent="0" rank="0" text="" dxfId="0">
      <formula>AND(P14="YES",O14="Implemented")</formula>
    </cfRule>
    <cfRule type="expression" priority="33" aboveAverage="0" equalAverage="0" bottom="0" percent="0" rank="0" text="" dxfId="1">
      <formula>AND(P14="YES",O14="Partial")</formula>
    </cfRule>
    <cfRule type="expression" priority="34" aboveAverage="0" equalAverage="0" bottom="0" percent="0" rank="0" text="" dxfId="2">
      <formula>AND(P14="YES",O14="None")</formula>
    </cfRule>
  </conditionalFormatting>
  <conditionalFormatting sqref="Q15">
    <cfRule type="expression" priority="35" aboveAverage="0" equalAverage="0" bottom="0" percent="0" rank="0" text="" dxfId="0">
      <formula>AND(P15="YES",O15="Implemented")</formula>
    </cfRule>
    <cfRule type="expression" priority="36" aboveAverage="0" equalAverage="0" bottom="0" percent="0" rank="0" text="" dxfId="1">
      <formula>AND(P15="YES",O15="Partial")</formula>
    </cfRule>
    <cfRule type="expression" priority="37" aboveAverage="0" equalAverage="0" bottom="0" percent="0" rank="0" text="" dxfId="2">
      <formula>AND(P15="YES",O15="None")</formula>
    </cfRule>
  </conditionalFormatting>
  <conditionalFormatting sqref="Q16">
    <cfRule type="expression" priority="38" aboveAverage="0" equalAverage="0" bottom="0" percent="0" rank="0" text="" dxfId="0">
      <formula>AND(P16="YES",O16="Implemented")</formula>
    </cfRule>
    <cfRule type="expression" priority="39" aboveAverage="0" equalAverage="0" bottom="0" percent="0" rank="0" text="" dxfId="1">
      <formula>AND(P16="YES",O16="Partial")</formula>
    </cfRule>
    <cfRule type="expression" priority="40" aboveAverage="0" equalAverage="0" bottom="0" percent="0" rank="0" text="" dxfId="2">
      <formula>AND(P16="YES",O16="None")</formula>
    </cfRule>
  </conditionalFormatting>
  <conditionalFormatting sqref="Q17">
    <cfRule type="expression" priority="41" aboveAverage="0" equalAverage="0" bottom="0" percent="0" rank="0" text="" dxfId="0">
      <formula>AND(P17="YES",O17="Implemented")</formula>
    </cfRule>
    <cfRule type="expression" priority="42" aboveAverage="0" equalAverage="0" bottom="0" percent="0" rank="0" text="" dxfId="1">
      <formula>AND(P17="YES",O17="Partial")</formula>
    </cfRule>
    <cfRule type="expression" priority="43" aboveAverage="0" equalAverage="0" bottom="0" percent="0" rank="0" text="" dxfId="2">
      <formula>AND(P17="YES",O17="None")</formula>
    </cfRule>
  </conditionalFormatting>
  <conditionalFormatting sqref="Q18">
    <cfRule type="expression" priority="44" aboveAverage="0" equalAverage="0" bottom="0" percent="0" rank="0" text="" dxfId="0">
      <formula>AND(P18="YES",O18="Implemented")</formula>
    </cfRule>
    <cfRule type="expression" priority="45" aboveAverage="0" equalAverage="0" bottom="0" percent="0" rank="0" text="" dxfId="1">
      <formula>AND(P18="YES",O18="Partial")</formula>
    </cfRule>
    <cfRule type="expression" priority="46" aboveAverage="0" equalAverage="0" bottom="0" percent="0" rank="0" text="" dxfId="2">
      <formula>AND(P18="YES",O18="None")</formula>
    </cfRule>
  </conditionalFormatting>
  <conditionalFormatting sqref="Q19">
    <cfRule type="expression" priority="47" aboveAverage="0" equalAverage="0" bottom="0" percent="0" rank="0" text="" dxfId="0">
      <formula>AND(P19="YES",O19="Implemented")</formula>
    </cfRule>
    <cfRule type="expression" priority="48" aboveAverage="0" equalAverage="0" bottom="0" percent="0" rank="0" text="" dxfId="1">
      <formula>AND(P19="YES",O19="Partial")</formula>
    </cfRule>
    <cfRule type="expression" priority="49" aboveAverage="0" equalAverage="0" bottom="0" percent="0" rank="0" text="" dxfId="2">
      <formula>AND(P19="YES",O19="None")</formula>
    </cfRule>
  </conditionalFormatting>
  <conditionalFormatting sqref="Q20">
    <cfRule type="expression" priority="50" aboveAverage="0" equalAverage="0" bottom="0" percent="0" rank="0" text="" dxfId="0">
      <formula>AND(P20="YES",O20="Implemented")</formula>
    </cfRule>
    <cfRule type="expression" priority="51" aboveAverage="0" equalAverage="0" bottom="0" percent="0" rank="0" text="" dxfId="1">
      <formula>AND(P20="YES",O20="Partial")</formula>
    </cfRule>
    <cfRule type="expression" priority="52" aboveAverage="0" equalAverage="0" bottom="0" percent="0" rank="0" text="" dxfId="2">
      <formula>AND(P20="YES",O20="None")</formula>
    </cfRule>
  </conditionalFormatting>
  <conditionalFormatting sqref="Q21">
    <cfRule type="expression" priority="53" aboveAverage="0" equalAverage="0" bottom="0" percent="0" rank="0" text="" dxfId="0">
      <formula>AND(P21="YES",O21="Implemented")</formula>
    </cfRule>
    <cfRule type="expression" priority="54" aboveAverage="0" equalAverage="0" bottom="0" percent="0" rank="0" text="" dxfId="1">
      <formula>AND(P21="YES",O21="Partial")</formula>
    </cfRule>
    <cfRule type="expression" priority="55" aboveAverage="0" equalAverage="0" bottom="0" percent="0" rank="0" text="" dxfId="2">
      <formula>AND(P21="YES",O21="None")</formula>
    </cfRule>
  </conditionalFormatting>
  <conditionalFormatting sqref="Q22">
    <cfRule type="expression" priority="56" aboveAverage="0" equalAverage="0" bottom="0" percent="0" rank="0" text="" dxfId="0">
      <formula>AND(P22="YES",O22="Implemented")</formula>
    </cfRule>
    <cfRule type="expression" priority="57" aboveAverage="0" equalAverage="0" bottom="0" percent="0" rank="0" text="" dxfId="1">
      <formula>AND(P22="YES",O22="Partial")</formula>
    </cfRule>
    <cfRule type="expression" priority="58" aboveAverage="0" equalAverage="0" bottom="0" percent="0" rank="0" text="" dxfId="2">
      <formula>AND(P22="YES",O22="None")</formula>
    </cfRule>
  </conditionalFormatting>
  <dataValidations count="2">
    <dataValidation allowBlank="false" errorStyle="stop" operator="between" showDropDown="false" showErrorMessage="false" showInputMessage="false" sqref="O4:O22" type="list">
      <formula1>"None,Partial,Implemented"</formula1>
      <formula2>0</formula2>
    </dataValidation>
    <dataValidation allowBlank="false" errorStyle="stop" operator="between" showDropDown="false" showErrorMessage="false" showInputMessage="false" sqref="P4:P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2" min="12" style="0" width="55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22"/>
    <col collapsed="false" customWidth="true" hidden="false" outlineLevel="0" max="18" min="18" style="0" width="36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90" t="s">
        <v>455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customFormat="false" ht="43.5" hidden="false" customHeight="true" outlineLevel="0" collapsed="false">
      <c r="A3" s="63" t="s">
        <v>47</v>
      </c>
      <c r="B3" s="63" t="s">
        <v>2</v>
      </c>
      <c r="C3" s="63" t="s">
        <v>50</v>
      </c>
      <c r="D3" s="63" t="s">
        <v>52</v>
      </c>
      <c r="E3" s="63" t="s">
        <v>54</v>
      </c>
      <c r="F3" s="63" t="s">
        <v>56</v>
      </c>
      <c r="G3" s="63" t="s">
        <v>58</v>
      </c>
      <c r="H3" s="63" t="s">
        <v>102</v>
      </c>
      <c r="I3" s="63" t="s">
        <v>103</v>
      </c>
      <c r="J3" s="63" t="s">
        <v>104</v>
      </c>
      <c r="K3" s="63" t="s">
        <v>66</v>
      </c>
      <c r="L3" s="63" t="s">
        <v>68</v>
      </c>
      <c r="M3" s="63" t="s">
        <v>70</v>
      </c>
      <c r="N3" s="63" t="s">
        <v>105</v>
      </c>
      <c r="O3" s="63" t="s">
        <v>74</v>
      </c>
      <c r="P3" s="63" t="s">
        <v>106</v>
      </c>
      <c r="Q3" s="63" t="s">
        <v>78</v>
      </c>
      <c r="R3" s="63" t="s">
        <v>80</v>
      </c>
    </row>
    <row r="4" customFormat="false" ht="55.5" hidden="false" customHeight="true" outlineLevel="0" collapsed="false">
      <c r="A4" s="91" t="s">
        <v>456</v>
      </c>
      <c r="B4" s="65" t="s">
        <v>5</v>
      </c>
      <c r="C4" s="92" t="s">
        <v>457</v>
      </c>
      <c r="D4" s="92" t="s">
        <v>458</v>
      </c>
      <c r="E4" s="92" t="s">
        <v>459</v>
      </c>
      <c r="F4" s="92" t="s">
        <v>460</v>
      </c>
      <c r="G4" s="92" t="s">
        <v>190</v>
      </c>
      <c r="H4" s="93" t="n">
        <v>2</v>
      </c>
      <c r="I4" s="93" t="n">
        <v>5</v>
      </c>
      <c r="J4" s="68" t="n">
        <v>10</v>
      </c>
      <c r="K4" s="69" t="s">
        <v>86</v>
      </c>
      <c r="L4" s="92" t="s">
        <v>461</v>
      </c>
      <c r="M4" s="92" t="s">
        <v>462</v>
      </c>
      <c r="N4" s="92" t="s">
        <v>270</v>
      </c>
      <c r="O4" s="70" t="s">
        <v>116</v>
      </c>
      <c r="P4" s="70" t="s">
        <v>117</v>
      </c>
      <c r="Q4" s="71" t="str">
        <f aca="false">IF(P4="YES",IF(O4="Implemented","✅ Triggered+Mitigated",IF(O4="Partial","⚠️ Partial Controls","❌ Unmitigated")),"— Not Triggered")</f>
        <v>— Not Triggered</v>
      </c>
      <c r="R4" s="92" t="s">
        <v>463</v>
      </c>
    </row>
    <row r="5" customFormat="false" ht="55.5" hidden="false" customHeight="true" outlineLevel="0" collapsed="false">
      <c r="A5" s="94" t="s">
        <v>464</v>
      </c>
      <c r="B5" s="75" t="s">
        <v>8</v>
      </c>
      <c r="C5" s="95" t="s">
        <v>465</v>
      </c>
      <c r="D5" s="95" t="s">
        <v>466</v>
      </c>
      <c r="E5" s="95" t="s">
        <v>467</v>
      </c>
      <c r="F5" s="95" t="s">
        <v>468</v>
      </c>
      <c r="G5" s="95" t="s">
        <v>112</v>
      </c>
      <c r="H5" s="96" t="n">
        <v>4</v>
      </c>
      <c r="I5" s="96" t="n">
        <v>5</v>
      </c>
      <c r="J5" s="76" t="n">
        <v>20</v>
      </c>
      <c r="K5" s="77" t="s">
        <v>85</v>
      </c>
      <c r="L5" s="95" t="s">
        <v>469</v>
      </c>
      <c r="M5" s="95" t="s">
        <v>145</v>
      </c>
      <c r="N5" s="95" t="s">
        <v>146</v>
      </c>
      <c r="O5" s="70" t="s">
        <v>116</v>
      </c>
      <c r="P5" s="70" t="s">
        <v>117</v>
      </c>
      <c r="Q5" s="71" t="str">
        <f aca="false">IF(P5="YES",IF(O5="Implemented","✅ Triggered+Mitigated",IF(O5="Partial","⚠️ Partial Controls","❌ Unmitigated")),"— Not Triggered")</f>
        <v>— Not Triggered</v>
      </c>
      <c r="R5" s="95" t="s">
        <v>470</v>
      </c>
    </row>
    <row r="6" customFormat="false" ht="55.5" hidden="false" customHeight="true" outlineLevel="0" collapsed="false">
      <c r="A6" s="91" t="s">
        <v>471</v>
      </c>
      <c r="B6" s="78" t="s">
        <v>11</v>
      </c>
      <c r="C6" s="92" t="s">
        <v>472</v>
      </c>
      <c r="D6" s="92" t="s">
        <v>473</v>
      </c>
      <c r="E6" s="92" t="s">
        <v>474</v>
      </c>
      <c r="F6" s="92" t="s">
        <v>475</v>
      </c>
      <c r="G6" s="92" t="s">
        <v>190</v>
      </c>
      <c r="H6" s="93" t="n">
        <v>3</v>
      </c>
      <c r="I6" s="93" t="n">
        <v>5</v>
      </c>
      <c r="J6" s="68" t="n">
        <v>15</v>
      </c>
      <c r="K6" s="69" t="s">
        <v>86</v>
      </c>
      <c r="L6" s="92" t="s">
        <v>476</v>
      </c>
      <c r="M6" s="92" t="s">
        <v>477</v>
      </c>
      <c r="N6" s="92" t="s">
        <v>347</v>
      </c>
      <c r="O6" s="70" t="s">
        <v>116</v>
      </c>
      <c r="P6" s="70" t="s">
        <v>117</v>
      </c>
      <c r="Q6" s="71" t="str">
        <f aca="false">IF(P6="YES",IF(O6="Implemented","✅ Triggered+Mitigated",IF(O6="Partial","⚠️ Partial Controls","❌ Unmitigated")),"— Not Triggered")</f>
        <v>— Not Triggered</v>
      </c>
      <c r="R6" s="92" t="s">
        <v>478</v>
      </c>
    </row>
    <row r="7" customFormat="false" ht="55.5" hidden="false" customHeight="true" outlineLevel="0" collapsed="false">
      <c r="A7" s="94" t="s">
        <v>479</v>
      </c>
      <c r="B7" s="79" t="s">
        <v>14</v>
      </c>
      <c r="C7" s="95" t="s">
        <v>480</v>
      </c>
      <c r="D7" s="95" t="s">
        <v>481</v>
      </c>
      <c r="E7" s="95" t="s">
        <v>482</v>
      </c>
      <c r="F7" s="95" t="s">
        <v>483</v>
      </c>
      <c r="G7" s="95" t="s">
        <v>112</v>
      </c>
      <c r="H7" s="96" t="n">
        <v>4</v>
      </c>
      <c r="I7" s="96" t="n">
        <v>5</v>
      </c>
      <c r="J7" s="76" t="n">
        <v>20</v>
      </c>
      <c r="K7" s="77" t="s">
        <v>85</v>
      </c>
      <c r="L7" s="95" t="s">
        <v>484</v>
      </c>
      <c r="M7" s="95" t="s">
        <v>485</v>
      </c>
      <c r="N7" s="95" t="s">
        <v>193</v>
      </c>
      <c r="O7" s="70" t="s">
        <v>116</v>
      </c>
      <c r="P7" s="70" t="s">
        <v>117</v>
      </c>
      <c r="Q7" s="71" t="str">
        <f aca="false">IF(P7="YES",IF(O7="Implemented","✅ Triggered+Mitigated",IF(O7="Partial","⚠️ Partial Controls","❌ Unmitigated")),"— Not Triggered")</f>
        <v>— Not Triggered</v>
      </c>
      <c r="R7" s="95" t="s">
        <v>486</v>
      </c>
    </row>
    <row r="8" customFormat="false" ht="55.5" hidden="false" customHeight="true" outlineLevel="0" collapsed="false">
      <c r="A8" s="91" t="s">
        <v>487</v>
      </c>
      <c r="B8" s="79" t="s">
        <v>14</v>
      </c>
      <c r="C8" s="92" t="s">
        <v>488</v>
      </c>
      <c r="D8" s="92" t="s">
        <v>489</v>
      </c>
      <c r="E8" s="92" t="s">
        <v>490</v>
      </c>
      <c r="F8" s="92" t="s">
        <v>491</v>
      </c>
      <c r="G8" s="92" t="s">
        <v>112</v>
      </c>
      <c r="H8" s="93" t="n">
        <v>4</v>
      </c>
      <c r="I8" s="93" t="n">
        <v>4</v>
      </c>
      <c r="J8" s="68" t="n">
        <v>16</v>
      </c>
      <c r="K8" s="69" t="s">
        <v>86</v>
      </c>
      <c r="L8" s="92" t="s">
        <v>492</v>
      </c>
      <c r="M8" s="92" t="s">
        <v>493</v>
      </c>
      <c r="N8" s="92" t="s">
        <v>380</v>
      </c>
      <c r="O8" s="70" t="s">
        <v>116</v>
      </c>
      <c r="P8" s="70" t="s">
        <v>117</v>
      </c>
      <c r="Q8" s="71" t="str">
        <f aca="false">IF(P8="YES",IF(O8="Implemented","✅ Triggered+Mitigated",IF(O8="Partial","⚠️ Partial Controls","❌ Unmitigated")),"— Not Triggered")</f>
        <v>— Not Triggered</v>
      </c>
      <c r="R8" s="92" t="s">
        <v>494</v>
      </c>
    </row>
    <row r="9" customFormat="false" ht="55.5" hidden="false" customHeight="true" outlineLevel="0" collapsed="false">
      <c r="A9" s="94" t="s">
        <v>495</v>
      </c>
      <c r="B9" s="80" t="s">
        <v>17</v>
      </c>
      <c r="C9" s="95" t="s">
        <v>496</v>
      </c>
      <c r="D9" s="95" t="s">
        <v>497</v>
      </c>
      <c r="E9" s="95" t="s">
        <v>498</v>
      </c>
      <c r="F9" s="95" t="s">
        <v>499</v>
      </c>
      <c r="G9" s="95" t="s">
        <v>112</v>
      </c>
      <c r="H9" s="96" t="n">
        <v>4</v>
      </c>
      <c r="I9" s="96" t="n">
        <v>4</v>
      </c>
      <c r="J9" s="68" t="n">
        <v>16</v>
      </c>
      <c r="K9" s="69" t="s">
        <v>86</v>
      </c>
      <c r="L9" s="95" t="s">
        <v>500</v>
      </c>
      <c r="M9" s="95" t="s">
        <v>501</v>
      </c>
      <c r="N9" s="95" t="s">
        <v>183</v>
      </c>
      <c r="O9" s="70" t="s">
        <v>116</v>
      </c>
      <c r="P9" s="70" t="s">
        <v>117</v>
      </c>
      <c r="Q9" s="71" t="str">
        <f aca="false">IF(P9="YES",IF(O9="Implemented","✅ Triggered+Mitigated",IF(O9="Partial","⚠️ Partial Controls","❌ Unmitigated")),"— Not Triggered")</f>
        <v>— Not Triggered</v>
      </c>
      <c r="R9" s="95" t="s">
        <v>502</v>
      </c>
    </row>
    <row r="10" customFormat="false" ht="55.5" hidden="false" customHeight="true" outlineLevel="0" collapsed="false">
      <c r="A10" s="91" t="s">
        <v>503</v>
      </c>
      <c r="B10" s="81" t="s">
        <v>20</v>
      </c>
      <c r="C10" s="92" t="s">
        <v>504</v>
      </c>
      <c r="D10" s="92" t="s">
        <v>505</v>
      </c>
      <c r="E10" s="92" t="s">
        <v>506</v>
      </c>
      <c r="F10" s="92" t="s">
        <v>507</v>
      </c>
      <c r="G10" s="92" t="s">
        <v>190</v>
      </c>
      <c r="H10" s="93" t="n">
        <v>2</v>
      </c>
      <c r="I10" s="93" t="n">
        <v>5</v>
      </c>
      <c r="J10" s="68" t="n">
        <v>10</v>
      </c>
      <c r="K10" s="69" t="s">
        <v>86</v>
      </c>
      <c r="L10" s="92" t="s">
        <v>508</v>
      </c>
      <c r="M10" s="92" t="s">
        <v>252</v>
      </c>
      <c r="N10" s="92" t="s">
        <v>193</v>
      </c>
      <c r="O10" s="70" t="s">
        <v>116</v>
      </c>
      <c r="P10" s="70" t="s">
        <v>117</v>
      </c>
      <c r="Q10" s="71" t="str">
        <f aca="false">IF(P10="YES",IF(O10="Implemented","✅ Triggered+Mitigated",IF(O10="Partial","⚠️ Partial Controls","❌ Unmitigated")),"— Not Triggered")</f>
        <v>— Not Triggered</v>
      </c>
      <c r="R10" s="92" t="s">
        <v>509</v>
      </c>
    </row>
    <row r="11" customFormat="false" ht="55.5" hidden="false" customHeight="true" outlineLevel="0" collapsed="false">
      <c r="A11" s="94" t="s">
        <v>510</v>
      </c>
      <c r="B11" s="81" t="s">
        <v>20</v>
      </c>
      <c r="C11" s="95" t="s">
        <v>511</v>
      </c>
      <c r="D11" s="95" t="s">
        <v>512</v>
      </c>
      <c r="E11" s="95" t="s">
        <v>513</v>
      </c>
      <c r="F11" s="95" t="s">
        <v>514</v>
      </c>
      <c r="G11" s="95" t="s">
        <v>190</v>
      </c>
      <c r="H11" s="96" t="n">
        <v>2</v>
      </c>
      <c r="I11" s="96" t="n">
        <v>5</v>
      </c>
      <c r="J11" s="68" t="n">
        <v>10</v>
      </c>
      <c r="K11" s="69" t="s">
        <v>86</v>
      </c>
      <c r="L11" s="95" t="s">
        <v>515</v>
      </c>
      <c r="M11" s="95" t="s">
        <v>210</v>
      </c>
      <c r="N11" s="95" t="s">
        <v>193</v>
      </c>
      <c r="O11" s="70" t="s">
        <v>116</v>
      </c>
      <c r="P11" s="70" t="s">
        <v>117</v>
      </c>
      <c r="Q11" s="71" t="str">
        <f aca="false">IF(P11="YES",IF(O11="Implemented","✅ Triggered+Mitigated",IF(O11="Partial","⚠️ Partial Controls","❌ Unmitigated")),"— Not Triggered")</f>
        <v>— Not Triggered</v>
      </c>
      <c r="R11" s="95" t="s">
        <v>516</v>
      </c>
    </row>
    <row r="12" customFormat="false" ht="55.5" hidden="false" customHeight="true" outlineLevel="0" collapsed="false">
      <c r="A12" s="91" t="s">
        <v>517</v>
      </c>
      <c r="B12" s="82" t="s">
        <v>23</v>
      </c>
      <c r="C12" s="92" t="s">
        <v>518</v>
      </c>
      <c r="D12" s="92" t="s">
        <v>519</v>
      </c>
      <c r="E12" s="92" t="s">
        <v>520</v>
      </c>
      <c r="F12" s="92" t="s">
        <v>521</v>
      </c>
      <c r="G12" s="92" t="s">
        <v>190</v>
      </c>
      <c r="H12" s="93" t="n">
        <v>2</v>
      </c>
      <c r="I12" s="93" t="n">
        <v>5</v>
      </c>
      <c r="J12" s="68" t="n">
        <v>10</v>
      </c>
      <c r="K12" s="69" t="s">
        <v>86</v>
      </c>
      <c r="L12" s="92" t="s">
        <v>522</v>
      </c>
      <c r="M12" s="92" t="s">
        <v>523</v>
      </c>
      <c r="N12" s="92" t="s">
        <v>270</v>
      </c>
      <c r="O12" s="70" t="s">
        <v>116</v>
      </c>
      <c r="P12" s="70" t="s">
        <v>117</v>
      </c>
      <c r="Q12" s="71" t="str">
        <f aca="false">IF(P12="YES",IF(O12="Implemented","✅ Triggered+Mitigated",IF(O12="Partial","⚠️ Partial Controls","❌ Unmitigated")),"— Not Triggered")</f>
        <v>— Not Triggered</v>
      </c>
      <c r="R12" s="92" t="s">
        <v>524</v>
      </c>
    </row>
    <row r="13" customFormat="false" ht="55.5" hidden="false" customHeight="true" outlineLevel="0" collapsed="false">
      <c r="A13" s="94" t="s">
        <v>525</v>
      </c>
      <c r="B13" s="82" t="s">
        <v>23</v>
      </c>
      <c r="C13" s="95" t="s">
        <v>526</v>
      </c>
      <c r="D13" s="95" t="s">
        <v>527</v>
      </c>
      <c r="E13" s="95" t="s">
        <v>528</v>
      </c>
      <c r="F13" s="95" t="s">
        <v>529</v>
      </c>
      <c r="G13" s="95" t="s">
        <v>112</v>
      </c>
      <c r="H13" s="96" t="n">
        <v>3</v>
      </c>
      <c r="I13" s="96" t="n">
        <v>4</v>
      </c>
      <c r="J13" s="68" t="n">
        <v>12</v>
      </c>
      <c r="K13" s="69" t="s">
        <v>86</v>
      </c>
      <c r="L13" s="95" t="s">
        <v>530</v>
      </c>
      <c r="M13" s="95" t="s">
        <v>531</v>
      </c>
      <c r="N13" s="95" t="s">
        <v>532</v>
      </c>
      <c r="O13" s="70" t="s">
        <v>116</v>
      </c>
      <c r="P13" s="70" t="s">
        <v>117</v>
      </c>
      <c r="Q13" s="71" t="str">
        <f aca="false">IF(P13="YES",IF(O13="Implemented","✅ Triggered+Mitigated",IF(O13="Partial","⚠️ Partial Controls","❌ Unmitigated")),"— Not Triggered")</f>
        <v>— Not Triggered</v>
      </c>
      <c r="R13" s="95" t="s">
        <v>533</v>
      </c>
    </row>
  </sheetData>
  <mergeCells count="1">
    <mergeCell ref="A2:R2"/>
  </mergeCells>
  <conditionalFormatting sqref="Q4">
    <cfRule type="expression" priority="2" aboveAverage="0" equalAverage="0" bottom="0" percent="0" rank="0" text="" dxfId="0">
      <formula>AND(P4="YES",O4="Implemented")</formula>
    </cfRule>
    <cfRule type="expression" priority="3" aboveAverage="0" equalAverage="0" bottom="0" percent="0" rank="0" text="" dxfId="1">
      <formula>AND(P4="YES",O4="Partial")</formula>
    </cfRule>
    <cfRule type="expression" priority="4" aboveAverage="0" equalAverage="0" bottom="0" percent="0" rank="0" text="" dxfId="2">
      <formula>AND(P4="YES",O4="None")</formula>
    </cfRule>
  </conditionalFormatting>
  <conditionalFormatting sqref="Q5">
    <cfRule type="expression" priority="5" aboveAverage="0" equalAverage="0" bottom="0" percent="0" rank="0" text="" dxfId="0">
      <formula>AND(P5="YES",O5="Implemented")</formula>
    </cfRule>
    <cfRule type="expression" priority="6" aboveAverage="0" equalAverage="0" bottom="0" percent="0" rank="0" text="" dxfId="1">
      <formula>AND(P5="YES",O5="Partial")</formula>
    </cfRule>
    <cfRule type="expression" priority="7" aboveAverage="0" equalAverage="0" bottom="0" percent="0" rank="0" text="" dxfId="2">
      <formula>AND(P5="YES",O5="None")</formula>
    </cfRule>
  </conditionalFormatting>
  <conditionalFormatting sqref="Q6">
    <cfRule type="expression" priority="8" aboveAverage="0" equalAverage="0" bottom="0" percent="0" rank="0" text="" dxfId="0">
      <formula>AND(P6="YES",O6="Implemented")</formula>
    </cfRule>
    <cfRule type="expression" priority="9" aboveAverage="0" equalAverage="0" bottom="0" percent="0" rank="0" text="" dxfId="1">
      <formula>AND(P6="YES",O6="Partial")</formula>
    </cfRule>
    <cfRule type="expression" priority="10" aboveAverage="0" equalAverage="0" bottom="0" percent="0" rank="0" text="" dxfId="2">
      <formula>AND(P6="YES",O6="None")</formula>
    </cfRule>
  </conditionalFormatting>
  <conditionalFormatting sqref="Q7">
    <cfRule type="expression" priority="11" aboveAverage="0" equalAverage="0" bottom="0" percent="0" rank="0" text="" dxfId="0">
      <formula>AND(P7="YES",O7="Implemented")</formula>
    </cfRule>
    <cfRule type="expression" priority="12" aboveAverage="0" equalAverage="0" bottom="0" percent="0" rank="0" text="" dxfId="1">
      <formula>AND(P7="YES",O7="Partial")</formula>
    </cfRule>
    <cfRule type="expression" priority="13" aboveAverage="0" equalAverage="0" bottom="0" percent="0" rank="0" text="" dxfId="2">
      <formula>AND(P7="YES",O7="None")</formula>
    </cfRule>
  </conditionalFormatting>
  <conditionalFormatting sqref="Q8">
    <cfRule type="expression" priority="14" aboveAverage="0" equalAverage="0" bottom="0" percent="0" rank="0" text="" dxfId="0">
      <formula>AND(P8="YES",O8="Implemented")</formula>
    </cfRule>
    <cfRule type="expression" priority="15" aboveAverage="0" equalAverage="0" bottom="0" percent="0" rank="0" text="" dxfId="1">
      <formula>AND(P8="YES",O8="Partial")</formula>
    </cfRule>
    <cfRule type="expression" priority="16" aboveAverage="0" equalAverage="0" bottom="0" percent="0" rank="0" text="" dxfId="2">
      <formula>AND(P8="YES",O8="None")</formula>
    </cfRule>
  </conditionalFormatting>
  <conditionalFormatting sqref="Q9">
    <cfRule type="expression" priority="17" aboveAverage="0" equalAverage="0" bottom="0" percent="0" rank="0" text="" dxfId="0">
      <formula>AND(P9="YES",O9="Implemented")</formula>
    </cfRule>
    <cfRule type="expression" priority="18" aboveAverage="0" equalAverage="0" bottom="0" percent="0" rank="0" text="" dxfId="1">
      <formula>AND(P9="YES",O9="Partial")</formula>
    </cfRule>
    <cfRule type="expression" priority="19" aboveAverage="0" equalAverage="0" bottom="0" percent="0" rank="0" text="" dxfId="2">
      <formula>AND(P9="YES",O9="None")</formula>
    </cfRule>
  </conditionalFormatting>
  <conditionalFormatting sqref="Q10">
    <cfRule type="expression" priority="20" aboveAverage="0" equalAverage="0" bottom="0" percent="0" rank="0" text="" dxfId="0">
      <formula>AND(P10="YES",O10="Implemented")</formula>
    </cfRule>
    <cfRule type="expression" priority="21" aboveAverage="0" equalAverage="0" bottom="0" percent="0" rank="0" text="" dxfId="1">
      <formula>AND(P10="YES",O10="Partial")</formula>
    </cfRule>
    <cfRule type="expression" priority="22" aboveAverage="0" equalAverage="0" bottom="0" percent="0" rank="0" text="" dxfId="2">
      <formula>AND(P10="YES",O10="None")</formula>
    </cfRule>
  </conditionalFormatting>
  <conditionalFormatting sqref="Q11">
    <cfRule type="expression" priority="23" aboveAverage="0" equalAverage="0" bottom="0" percent="0" rank="0" text="" dxfId="0">
      <formula>AND(P11="YES",O11="Implemented")</formula>
    </cfRule>
    <cfRule type="expression" priority="24" aboveAverage="0" equalAverage="0" bottom="0" percent="0" rank="0" text="" dxfId="1">
      <formula>AND(P11="YES",O11="Partial")</formula>
    </cfRule>
    <cfRule type="expression" priority="25" aboveAverage="0" equalAverage="0" bottom="0" percent="0" rank="0" text="" dxfId="2">
      <formula>AND(P11="YES",O11="None")</formula>
    </cfRule>
  </conditionalFormatting>
  <conditionalFormatting sqref="Q12">
    <cfRule type="expression" priority="26" aboveAverage="0" equalAverage="0" bottom="0" percent="0" rank="0" text="" dxfId="0">
      <formula>AND(P12="YES",O12="Implemented")</formula>
    </cfRule>
    <cfRule type="expression" priority="27" aboveAverage="0" equalAverage="0" bottom="0" percent="0" rank="0" text="" dxfId="1">
      <formula>AND(P12="YES",O12="Partial")</formula>
    </cfRule>
    <cfRule type="expression" priority="28" aboveAverage="0" equalAverage="0" bottom="0" percent="0" rank="0" text="" dxfId="2">
      <formula>AND(P12="YES",O12="None")</formula>
    </cfRule>
  </conditionalFormatting>
  <conditionalFormatting sqref="Q13">
    <cfRule type="expression" priority="29" aboveAverage="0" equalAverage="0" bottom="0" percent="0" rank="0" text="" dxfId="0">
      <formula>AND(P13="YES",O13="Implemented")</formula>
    </cfRule>
    <cfRule type="expression" priority="30" aboveAverage="0" equalAverage="0" bottom="0" percent="0" rank="0" text="" dxfId="1">
      <formula>AND(P13="YES",O13="Partial")</formula>
    </cfRule>
    <cfRule type="expression" priority="31" aboveAverage="0" equalAverage="0" bottom="0" percent="0" rank="0" text="" dxfId="2">
      <formula>AND(P13="YES",O13="None")</formula>
    </cfRule>
  </conditionalFormatting>
  <dataValidations count="2">
    <dataValidation allowBlank="false" errorStyle="stop" operator="between" showDropDown="false" showErrorMessage="false" showInputMessage="false" sqref="O4:O13" type="list">
      <formula1>"None,Partial,Implemented"</formula1>
      <formula2>0</formula2>
    </dataValidation>
    <dataValidation allowBlank="false" errorStyle="stop" operator="between" showDropDown="false" showErrorMessage="false" showInputMessage="false" sqref="P4:P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2026-04-27T03:23:16Z</dcterms:created>
  <dc:creator>openpyxl</dc:creator>
  <dc:description/>
  <dc:language>en-US</dc:language>
  <cp:lastModifiedBy/>
  <dcterms:modified xsi:type="dcterms:W3CDTF">2026-04-27T03:23:16Z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