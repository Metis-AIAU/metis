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Cover &amp; Legend" sheetId="1" state="visible" r:id="rId3"/>
    <sheet name="📊 Risk Dashboard" sheetId="2" state="visible" r:id="rId4"/>
    <sheet name="🔴 OT Threats" sheetId="3" state="visible" r:id="rId5"/>
    <sheet name="🟢 IT Threats" sheetId="4" state="visible" r:id="rId6"/>
    <sheet name="🔵 Shared Thre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<sst xmlns="http://schemas.openxmlformats.org/spreadsheetml/2006/main" count="883" uniqueCount="549">
  <si>
    <t xml:space="preserve">STRIDE Threat Modeling — OT &amp; IT Environments</t>
  </si>
  <si>
    <t xml:space="preserve">Threat Register | Control Mitigations | Application Status Tracker</t>
  </si>
  <si>
    <t xml:space="preserve">STRIDE Category</t>
  </si>
  <si>
    <t xml:space="preserve">Description</t>
  </si>
  <si>
    <t xml:space="preserve">Letter</t>
  </si>
  <si>
    <t xml:space="preserve">Color Code</t>
  </si>
  <si>
    <t xml:space="preserve">Spoofing</t>
  </si>
  <si>
    <t xml:space="preserve">Impersonating a user, device, or system component</t>
  </si>
  <si>
    <t xml:space="preserve">S</t>
  </si>
  <si>
    <t xml:space="preserve">#4472C4</t>
  </si>
  <si>
    <t xml:space="preserve">Tampering</t>
  </si>
  <si>
    <t xml:space="preserve">Unauthorized modification of data, firmware, or configurations</t>
  </si>
  <si>
    <t xml:space="preserve">T</t>
  </si>
  <si>
    <t xml:space="preserve">#ED7D31</t>
  </si>
  <si>
    <t xml:space="preserve">Repudiation</t>
  </si>
  <si>
    <t xml:space="preserve">Denying actions without auditability or accountability</t>
  </si>
  <si>
    <t xml:space="preserve">R</t>
  </si>
  <si>
    <t xml:space="preserve">#70AD47</t>
  </si>
  <si>
    <t xml:space="preserve">Information Disclosure</t>
  </si>
  <si>
    <t xml:space="preserve">Exposing sensitive data to unauthorized parties</t>
  </si>
  <si>
    <t xml:space="preserve">I</t>
  </si>
  <si>
    <t xml:space="preserve">#FFC000</t>
  </si>
  <si>
    <t xml:space="preserve">Denial of Service</t>
  </si>
  <si>
    <t xml:space="preserve">Disrupting availability of systems or processes</t>
  </si>
  <si>
    <t xml:space="preserve">D</t>
  </si>
  <si>
    <t xml:space="preserve">#FF0000</t>
  </si>
  <si>
    <t xml:space="preserve">Elevation of Privilege</t>
  </si>
  <si>
    <t xml:space="preserve">Gaining unauthorized elevated access or capabilities</t>
  </si>
  <si>
    <t xml:space="preserve">E</t>
  </si>
  <si>
    <t xml:space="preserve">#7030A0</t>
  </si>
  <si>
    <t xml:space="preserve">Application Status Colors</t>
  </si>
  <si>
    <t xml:space="preserve">Meaning</t>
  </si>
  <si>
    <t xml:space="preserve">Used In Sheet</t>
  </si>
  <si>
    <t xml:space="preserve">TRIGGERED + ALL CONTROLS IN PLACE</t>
  </si>
  <si>
    <t xml:space="preserve">Threat active — mitigations confirmed ✅</t>
  </si>
  <si>
    <t xml:space="preserve">OT Threats / IT Threats / Shared</t>
  </si>
  <si>
    <t xml:space="preserve">TRIGGERED + PARTIAL CONTROLS</t>
  </si>
  <si>
    <t xml:space="preserve">Threat active — some controls missing ⚠️</t>
  </si>
  <si>
    <t xml:space="preserve">TRIGGERED + NO CONTROLS</t>
  </si>
  <si>
    <t xml:space="preserve">Threat active — UNMITIGATED ❌</t>
  </si>
  <si>
    <t xml:space="preserve">NOT TRIGGERED</t>
  </si>
  <si>
    <t xml:space="preserve">No active threat detected</t>
  </si>
  <si>
    <t xml:space="preserve">Environment</t>
  </si>
  <si>
    <t xml:space="preserve">OT Environment</t>
  </si>
  <si>
    <t xml:space="preserve">Operational Technology: PLCs, RTUs, SCADA, HMIs, DCS, field devices</t>
  </si>
  <si>
    <t xml:space="preserve">IT Environment</t>
  </si>
  <si>
    <t xml:space="preserve">Information Technology: Servers, workstations, cloud, networks, endpoints</t>
  </si>
  <si>
    <t xml:space="preserve">Shared / Both</t>
  </si>
  <si>
    <t xml:space="preserve">Threats and controls applicable across OT and IT boundaries</t>
  </si>
  <si>
    <t xml:space="preserve">Column Guide — Threat Register Sheets</t>
  </si>
  <si>
    <t xml:space="preserve">Threat ID</t>
  </si>
  <si>
    <t xml:space="preserve">Unique identifier e.g. OT-S-001 (Environment-STRIDE-Seq)</t>
  </si>
  <si>
    <t xml:space="preserve">Which STRIDE threat category applies</t>
  </si>
  <si>
    <t xml:space="preserve">Threat Name</t>
  </si>
  <si>
    <t xml:space="preserve">Short descriptive name of the threat</t>
  </si>
  <si>
    <t xml:space="preserve">Threat Description</t>
  </si>
  <si>
    <t xml:space="preserve">Detailed description of the attack vector and impact</t>
  </si>
  <si>
    <t xml:space="preserve">Target Asset</t>
  </si>
  <si>
    <t xml:space="preserve">The asset, component or system being targeted</t>
  </si>
  <si>
    <t xml:space="preserve">Likelihood (1-5)</t>
  </si>
  <si>
    <t xml:space="preserve">Probability of occurrence: 1=Very Low … 5=Very High</t>
  </si>
  <si>
    <t xml:space="preserve">Impact (1-5)</t>
  </si>
  <si>
    <t xml:space="preserve">Consequence severity: 1=Negligible … 5=Catastrophic</t>
  </si>
  <si>
    <t xml:space="preserve">Risk Score</t>
  </si>
  <si>
    <t xml:space="preserve">Likelihood × Impact (auto-calculated)</t>
  </si>
  <si>
    <t xml:space="preserve">Risk Level</t>
  </si>
  <si>
    <t xml:space="preserve">LOW / MEDIUM / HIGH / CRITICAL derived from Risk Score</t>
  </si>
  <si>
    <t xml:space="preserve">Control Mitigation</t>
  </si>
  <si>
    <t xml:space="preserve">Recommended security control(s) to mitigate the threat</t>
  </si>
  <si>
    <t xml:space="preserve">Control Standard Ref</t>
  </si>
  <si>
    <t xml:space="preserve">NIST CSF / IEC 62443 / NERC CIP reference</t>
  </si>
  <si>
    <t xml:space="preserve">Control Status</t>
  </si>
  <si>
    <t xml:space="preserve">App sets: None / Partial / Implemented</t>
  </si>
  <si>
    <t xml:space="preserve">Threat Triggered?</t>
  </si>
  <si>
    <t xml:space="preserve">App sets: YES / NO</t>
  </si>
  <si>
    <t xml:space="preserve">App Status Color</t>
  </si>
  <si>
    <t xml:space="preserve">Auto-colored by app based on triggered + control status</t>
  </si>
  <si>
    <t xml:space="preserve">Notes</t>
  </si>
  <si>
    <t xml:space="preserve">Additional context, exceptions, or remediation actions</t>
  </si>
  <si>
    <t xml:space="preserve">STRIDE Threat Modeling — Risk Dashboard</t>
  </si>
  <si>
    <t xml:space="preserve">OT Environment — Threat Summary</t>
  </si>
  <si>
    <t xml:space="preserve">Metric</t>
  </si>
  <si>
    <t xml:space="preserve">CRITICAL</t>
  </si>
  <si>
    <t xml:space="preserve">HIGH</t>
  </si>
  <si>
    <t xml:space="preserve">MEDIUM</t>
  </si>
  <si>
    <t xml:space="preserve">LOW</t>
  </si>
  <si>
    <t xml:space="preserve">Total Threats</t>
  </si>
  <si>
    <t xml:space="preserve">Threat Count</t>
  </si>
  <si>
    <t xml:space="preserve">Triggered Threats</t>
  </si>
  <si>
    <t xml:space="preserve">Controls Implemented</t>
  </si>
  <si>
    <t xml:space="preserve">Unmitigated Triggered</t>
  </si>
  <si>
    <t xml:space="preserve">IT Environment — Threat Summary</t>
  </si>
  <si>
    <t xml:space="preserve">Shared — Threat Summary</t>
  </si>
  <si>
    <t xml:space="preserve">STRIDE Category Distribution (All Environments)</t>
  </si>
  <si>
    <t xml:space="preserve">OT Count</t>
  </si>
  <si>
    <t xml:space="preserve">IT Count</t>
  </si>
  <si>
    <t xml:space="preserve">Shared Count</t>
  </si>
  <si>
    <t xml:space="preserve">Total</t>
  </si>
  <si>
    <t xml:space="preserve">🤖 APPLICATION INTEGRATION NOTE: Set 'Threat Triggered?' = YES and 'Control Status' = None/Partial/Implemented in each threat sheet. The 'App Status' column and dashboard counters update automatically.</t>
  </si>
  <si>
    <t xml:space="preserve">STRIDE Threat Register — 🔴 OT Threats</t>
  </si>
  <si>
    <t xml:space="preserve">STRIDE
Category</t>
  </si>
  <si>
    <t xml:space="preserve">Likelihood
(1-5)</t>
  </si>
  <si>
    <t xml:space="preserve">Impact
(1-5)</t>
  </si>
  <si>
    <t xml:space="preserve">Risk
Score</t>
  </si>
  <si>
    <t xml:space="preserve">Threat
Triggered?</t>
  </si>
  <si>
    <t xml:space="preserve">App Status</t>
  </si>
  <si>
    <t xml:space="preserve">🔴-S-001</t>
  </si>
  <si>
    <t xml:space="preserve">Rogue Engineering Workstation</t>
  </si>
  <si>
    <t xml:space="preserve">Attacker introduces an unauthorized engineering workstation onto the OT network to send crafted commands to PLCs or RTUs</t>
  </si>
  <si>
    <t xml:space="preserve">PLC / RTU / DCS</t>
  </si>
  <si>
    <t xml:space="preserve">Whitelist authorized engineering workstations by MAC/IP; enforce certificate-based device authentication on control network; segment EWS VLAN</t>
  </si>
  <si>
    <t xml:space="preserve">IEC 62443-3-3 SR 1.1 / NIST CSF PR.AC-1</t>
  </si>
  <si>
    <t xml:space="preserve">None</t>
  </si>
  <si>
    <t xml:space="preserve">NO</t>
  </si>
  <si>
    <t xml:space="preserve">Critical for air-gapped or DMZ-adjacent cells</t>
  </si>
  <si>
    <t xml:space="preserve">🔴-S-002</t>
  </si>
  <si>
    <t xml:space="preserve">Protocol Identity Spoofing (Modbus/DNP3)</t>
  </si>
  <si>
    <t xml:space="preserve">Exploitation of legacy unauthenticated protocols (Modbus, DNP3) to impersonate master/slave devices and inject commands</t>
  </si>
  <si>
    <t xml:space="preserve">Field Devices / RTUs</t>
  </si>
  <si>
    <t xml:space="preserve">Deploy authenticated variants (DNP3 SA, OPC-UA security); OT-aware IDS/IPS with protocol anomaly detection; network segmentation</t>
  </si>
  <si>
    <t xml:space="preserve">IEC 62443-3-3 SR 1.2 / NERC CIP-005</t>
  </si>
  <si>
    <t xml:space="preserve">Modbus has no native auth — compensating controls mandatory</t>
  </si>
  <si>
    <t xml:space="preserve">🔴-S-003</t>
  </si>
  <si>
    <t xml:space="preserve">HMI Session Hijacking</t>
  </si>
  <si>
    <t xml:space="preserve">Attacker hijacks an active HMI session after an operator leaves the station unattended, assuming the authenticated identity</t>
  </si>
  <si>
    <t xml:space="preserve">HMI / SCADA</t>
  </si>
  <si>
    <t xml:space="preserve">Automatic session timeout; smart card / MFA for HMI logon; operator inactivity lock policy; session token binding</t>
  </si>
  <si>
    <t xml:space="preserve">IEC 62443-2-1 / NIST SP 800-82</t>
  </si>
  <si>
    <t xml:space="preserve">Physical proximity of HMI in control rooms heightens risk</t>
  </si>
  <si>
    <t xml:space="preserve">🔴-S-004</t>
  </si>
  <si>
    <t xml:space="preserve">GPS Signal Spoofing</t>
  </si>
  <si>
    <t xml:space="preserve">Adversary broadcasts counterfeit GPS signals to manipulate time synchronization in SCADA/substation automation</t>
  </si>
  <si>
    <t xml:space="preserve">Time Sync / GPS Receivers</t>
  </si>
  <si>
    <t xml:space="preserve">Deploy authenticated GPS receivers (SAASM); cross-check with IEEE 1588 PTP and internal NTP; anomaly alerting on clock drift</t>
  </si>
  <si>
    <t xml:space="preserve">IEC 62351-7 / NERC CIP-002</t>
  </si>
  <si>
    <t xml:space="preserve">Impacts protective relays and sequence-of-events recording</t>
  </si>
  <si>
    <t xml:space="preserve">🔴-S-005</t>
  </si>
  <si>
    <t xml:space="preserve">Vendor Remote Access Impersonation</t>
  </si>
  <si>
    <t xml:space="preserve">Attacker impersonates a trusted vendor during a remote support session to gain access to control systems</t>
  </si>
  <si>
    <t xml:space="preserve">Remote Access Gateway</t>
  </si>
  <si>
    <t xml:space="preserve">MFA for all remote vendor access; Just-In-Time access with session recording; vendor identity verification before enablement</t>
  </si>
  <si>
    <t xml:space="preserve">IEC 62443-2-4 / NIST CSF PR.AC-3</t>
  </si>
  <si>
    <t xml:space="preserve">Third-party access is a leading OT breach vector</t>
  </si>
  <si>
    <t xml:space="preserve">🔴-T-006</t>
  </si>
  <si>
    <t xml:space="preserve">PLC Firmware Modification</t>
  </si>
  <si>
    <t xml:space="preserve">Attacker uploads malicious or modified firmware to a PLC to alter process behavior or create persistent backdoors</t>
  </si>
  <si>
    <t xml:space="preserve">PLC / PAC</t>
  </si>
  <si>
    <t xml:space="preserve">Firmware integrity verification before upload; code signing for control logic; change control and dual-person authorization</t>
  </si>
  <si>
    <t xml:space="preserve">IEC 62443-3-3 SR 3.3 / NIST SP 800-82</t>
  </si>
  <si>
    <t xml:space="preserve">Stuxnet-class attack vector</t>
  </si>
  <si>
    <t xml:space="preserve">🔴-T-007</t>
  </si>
  <si>
    <t xml:space="preserve">Control Logic Manipulation</t>
  </si>
  <si>
    <t xml:space="preserve">Unauthorized modification of ladder logic or function blocks to cause unsafe process states or equipment damage</t>
  </si>
  <si>
    <t xml:space="preserve">PLC / DCS Controller</t>
  </si>
  <si>
    <t xml:space="preserve">Application whitelisting on engineering workstations; read-only lock on PLC programs in run mode; program hash integrity checks</t>
  </si>
  <si>
    <t xml:space="preserve">IEC 62443-3-3 SR 3.4 / IEC 61511</t>
  </si>
  <si>
    <t xml:space="preserve">Requires engineering workstation access or network path</t>
  </si>
  <si>
    <t xml:space="preserve">🔴-T-008</t>
  </si>
  <si>
    <t xml:space="preserve">Historian Data Manipulation</t>
  </si>
  <si>
    <t xml:space="preserve">Attacker modifies process historian records to conceal anomalous behavior or manipulate compliance reporting</t>
  </si>
  <si>
    <t xml:space="preserve">Process Historian</t>
  </si>
  <si>
    <t xml:space="preserve">Write-once storage or WORM for historian; audit logging of all write operations; integrity hashes on time-series records</t>
  </si>
  <si>
    <t xml:space="preserve">IEC 62443-3-3 SR 3.1 / NERC CIP-007</t>
  </si>
  <si>
    <t xml:space="preserve">Can mask safety incidents or regulatory non-compliance</t>
  </si>
  <si>
    <t xml:space="preserve">🔴-T-009</t>
  </si>
  <si>
    <t xml:space="preserve">Configuration File Alteration</t>
  </si>
  <si>
    <t xml:space="preserve">Modification of SCADA or IED configuration files (e.g., SCL, IEC 61850 CID) to alter protection settings</t>
  </si>
  <si>
    <t xml:space="preserve">IED / SCADA Config</t>
  </si>
  <si>
    <t xml:space="preserve">File integrity monitoring on config directories; version-controlled config management; digitally signed configuration files</t>
  </si>
  <si>
    <t xml:space="preserve">IEC 62351-8 / IEC 61850</t>
  </si>
  <si>
    <t xml:space="preserve">Protection relay mis-operation can cause outage or damage</t>
  </si>
  <si>
    <t xml:space="preserve">🔴-T-010</t>
  </si>
  <si>
    <t xml:space="preserve">Man-in-the-Middle on OT Network</t>
  </si>
  <si>
    <t xml:space="preserve">Attacker intercepts and modifies commands between master and slave devices on the OT LAN</t>
  </si>
  <si>
    <t xml:space="preserve">Network / Control Bus</t>
  </si>
  <si>
    <t xml:space="preserve">Network encryption (TLS/DTLS) where protocol supports; OT-aware IDS for command sequence anomalies; strict VLAN segregation</t>
  </si>
  <si>
    <t xml:space="preserve">IEC 62443-3-3 SR 3.2 / NIST CSF PR.DS-2</t>
  </si>
  <si>
    <t xml:space="preserve">Challenging in brownfield with legacy protocols</t>
  </si>
  <si>
    <t xml:space="preserve">🔴-R-011</t>
  </si>
  <si>
    <t xml:space="preserve">Operator Action Denial</t>
  </si>
  <si>
    <t xml:space="preserve">Operator denies executing a critical command (e.g., valve open/close) in the event of a safety incident</t>
  </si>
  <si>
    <t xml:space="preserve">Tamper-evident audit logs with operator ID, timestamp, and command on WORM storage; video surveillance of control consoles</t>
  </si>
  <si>
    <t xml:space="preserve">IEC 62443-2-1 / NERC CIP-007</t>
  </si>
  <si>
    <t xml:space="preserve">Essential for incident investigation and regulatory compliance</t>
  </si>
  <si>
    <t xml:space="preserve">🔴-R-012</t>
  </si>
  <si>
    <t xml:space="preserve">Vendor Activity Non-Traceability</t>
  </si>
  <si>
    <t xml:space="preserve">Vendor remote session activities cannot be attributed to specific individuals due to shared credentials</t>
  </si>
  <si>
    <t xml:space="preserve">Remote Access / Jump Server</t>
  </si>
  <si>
    <t xml:space="preserve">Individual named accounts for all vendors (no shared); full session recording with keystroke logging; MFA-tied audit trail</t>
  </si>
  <si>
    <t xml:space="preserve">IEC 62443-2-4 / NIST CSF DE.CM-3</t>
  </si>
  <si>
    <t xml:space="preserve">Shared 'vendor' accounts are systemic in OT environments</t>
  </si>
  <si>
    <t xml:space="preserve">🔴-R-013</t>
  </si>
  <si>
    <t xml:space="preserve">Alarm Suppression Cover-Up</t>
  </si>
  <si>
    <t xml:space="preserve">Technician suppresses alarms without authorization and later denies it, masking a developing safety event</t>
  </si>
  <si>
    <t xml:space="preserve">DCS / Safety System</t>
  </si>
  <si>
    <t xml:space="preserve">All alarm management actions logged with user ID; alarm suppression requiring two-person authorization; SIS audit trail</t>
  </si>
  <si>
    <t xml:space="preserve">IEC 61511 / ISA-18.2</t>
  </si>
  <si>
    <t xml:space="preserve">Critical for SIL-rated safety instrumented systems</t>
  </si>
  <si>
    <t xml:space="preserve">🔴-I-014</t>
  </si>
  <si>
    <t xml:space="preserve">Process Data Exfiltration via IT/OT DMZ</t>
  </si>
  <si>
    <t xml:space="preserve">Attacker pivots from IT network through a misconfigured DMZ firewall to extract real-time process data</t>
  </si>
  <si>
    <t xml:space="preserve">OT DMZ / Firewall</t>
  </si>
  <si>
    <t xml:space="preserve">Strict unidirectional data diode or firewall policy (deny-all default) at IT/OT boundary; DLP on historian replication feeds</t>
  </si>
  <si>
    <t xml:space="preserve">IEC 62443-3-3 SR 5.2 / NIST SP 800-82</t>
  </si>
  <si>
    <t xml:space="preserve">Process data has significant industrial espionage value</t>
  </si>
  <si>
    <t xml:space="preserve">🔴-I-015</t>
  </si>
  <si>
    <t xml:space="preserve">Engineering Drawing Theft</t>
  </si>
  <si>
    <t xml:space="preserve">Sensitive P&amp;IDs, network diagrams, and PLC programs exfiltrated via compromised engineering workstation</t>
  </si>
  <si>
    <t xml:space="preserve">Engineering Workstation</t>
  </si>
  <si>
    <t xml:space="preserve">DLP controls on EWS; removable media policy; encrypted storage for sensitive design documents; network monitoring for bulk transfers</t>
  </si>
  <si>
    <t xml:space="preserve">IEC 62443-2-1 / NIST CSF PR.DS-1</t>
  </si>
  <si>
    <t xml:space="preserve">Stolen schematics enable highly targeted physical attacks</t>
  </si>
  <si>
    <t xml:space="preserve">🔴-I-016</t>
  </si>
  <si>
    <t xml:space="preserve">Wireless Sniffing on OT Network</t>
  </si>
  <si>
    <t xml:space="preserve">Attacker captures unencrypted wireless traffic from OT field devices or mobile HMIs</t>
  </si>
  <si>
    <t xml:space="preserve">Wireless OT Devices</t>
  </si>
  <si>
    <t xml:space="preserve">WPA3-Enterprise for OT wireless; disable legacy WEP/WPA; WIDS deployment; segment wireless on isolated VLAN</t>
  </si>
  <si>
    <t xml:space="preserve">IEC 62443-3-3 SR 5.1 / NIST SP 800-82</t>
  </si>
  <si>
    <t xml:space="preserve">Many OT wireless deployments still use WPA2 or WEP</t>
  </si>
  <si>
    <t xml:space="preserve">🔴-I-017</t>
  </si>
  <si>
    <t xml:space="preserve">Safety System Logic Exposure</t>
  </si>
  <si>
    <t xml:space="preserve">Safety PLC programs or SIL logic exposed via unsecured vendor tool connections</t>
  </si>
  <si>
    <t xml:space="preserve">Safety Instrumented System</t>
  </si>
  <si>
    <t xml:space="preserve">Dedicated safety network isolated from basic process control; read-only access to SIS programs; physical key switches</t>
  </si>
  <si>
    <t xml:space="preserve">IEC 61511 / IEC 62443-3-3 SR 5.4</t>
  </si>
  <si>
    <t xml:space="preserve">SIS isolation is a fundamental IEC 61511 requirement</t>
  </si>
  <si>
    <t xml:space="preserve">🔴-D-018</t>
  </si>
  <si>
    <t xml:space="preserve">Network Flood Against Control LAN</t>
  </si>
  <si>
    <t xml:space="preserve">Broadcast storm or targeted flood overwhelms OT LAN switch, causing PLCs to lose communication with SCADA</t>
  </si>
  <si>
    <t xml:space="preserve">OT Network / Switches</t>
  </si>
  <si>
    <t xml:space="preserve">Managed switches with storm control; QoS prioritization for control traffic; network segmentation limiting blast radius</t>
  </si>
  <si>
    <t xml:space="preserve">IEC 62443-3-3 SR 7.1 / NERC CIP-006</t>
  </si>
  <si>
    <t xml:space="preserve">Legacy OT switches often lack storm control capabilities</t>
  </si>
  <si>
    <t xml:space="preserve">🔴-D-019</t>
  </si>
  <si>
    <t xml:space="preserve">PLC CPU Exhaustion via Malformed Packets</t>
  </si>
  <si>
    <t xml:space="preserve">Attacker sends crafted malformed packets exploiting protocol parser vulnerabilities to crash PLC CPUs</t>
  </si>
  <si>
    <t xml:space="preserve">PLC / RTU</t>
  </si>
  <si>
    <t xml:space="preserve">OT-aware IDS/IPS with deep packet inspection; patch management for PLC firmware; protocol allow-listing at network layer</t>
  </si>
  <si>
    <t xml:space="preserve">IEC 62443-3-3 SR 7.2 / NIST SP 800-82</t>
  </si>
  <si>
    <t xml:space="preserve">Patching OT devices requires careful change management</t>
  </si>
  <si>
    <t xml:space="preserve">🔴-D-020</t>
  </si>
  <si>
    <t xml:space="preserve">Ransomware Disrupting SCADA/HMI</t>
  </si>
  <si>
    <t xml:space="preserve">Ransomware propagated from IT encrypts SCADA servers and HMI workstations, halting process visibility and control</t>
  </si>
  <si>
    <t xml:space="preserve">SCADA Server / HMI</t>
  </si>
  <si>
    <t xml:space="preserve">Offline backups of SCADA configs and historian; application whitelisting; IT/OT network segmentation; incident response playbook</t>
  </si>
  <si>
    <t xml:space="preserve">IEC 62443-2-1 / NIST CSF RC.RP-1</t>
  </si>
  <si>
    <t xml:space="preserve">Colonial Pipeline-class attack; recovery planning critical</t>
  </si>
  <si>
    <t xml:space="preserve">🔴-D-021</t>
  </si>
  <si>
    <t xml:space="preserve">Safety System Forced Trip</t>
  </si>
  <si>
    <t xml:space="preserve">Attacker manipulates process inputs or SIS logic to trigger spurious safety shutdowns, causing production loss</t>
  </si>
  <si>
    <t xml:space="preserve">Physical separation of SIS from BPCS; SIS integrity locks; anomaly detection on safety system inputs</t>
  </si>
  <si>
    <t xml:space="preserve">IEC 61511 / IEC 62443-3-3 SR 7.3</t>
  </si>
  <si>
    <t xml:space="preserve">Spurious trips can cause secondary hazards on restart</t>
  </si>
  <si>
    <t xml:space="preserve">🔴-D-022</t>
  </si>
  <si>
    <t xml:space="preserve">GPS/PTP Time Disruption</t>
  </si>
  <si>
    <t xml:space="preserve">Disruption of time synchronization causes protection relay miscoordination and sequence-of-events recording gaps</t>
  </si>
  <si>
    <t xml:space="preserve">Substation / Time Sources</t>
  </si>
  <si>
    <t xml:space="preserve">Redundant GPS and PTP sources; authenticated NTP/PTP; monitoring for clock divergence; relay coordination review</t>
  </si>
  <si>
    <t xml:space="preserve">Time disruption impacts event reconstruction and relay protection</t>
  </si>
  <si>
    <t xml:space="preserve">🔴-E-023</t>
  </si>
  <si>
    <t xml:space="preserve">Local Admin Account Exploitation on HMI</t>
  </si>
  <si>
    <t xml:space="preserve">Attacker or insider exploits default or weak local admin credentials on HMI to gain full system control</t>
  </si>
  <si>
    <t xml:space="preserve">HMI Workstation</t>
  </si>
  <si>
    <t xml:space="preserve">Change default credentials; disable local admin accounts where possible; role-based access control; PAM solution for privileged accounts</t>
  </si>
  <si>
    <t xml:space="preserve">IEC 62443-3-3 SR 1.3 / NIST SP 800-82</t>
  </si>
  <si>
    <t xml:space="preserve">Default vendor credentials are extremely common in OT</t>
  </si>
  <si>
    <t xml:space="preserve">🔴-E-024</t>
  </si>
  <si>
    <t xml:space="preserve">Privilege Escalation via Engineering Software Vulnerability</t>
  </si>
  <si>
    <t xml:space="preserve">Exploitation of a vulnerability in engineering software (e.g., Siemens TIA Portal, Rockwell Studio 5000) to gain elevated privileges</t>
  </si>
  <si>
    <t xml:space="preserve">Keep engineering software patched; run EWS under least-privilege user account; application whitelisting; vendor security advisories monitoring</t>
  </si>
  <si>
    <t xml:space="preserve">IEC 62443-2-1 / NIST CSF PR.IP-12</t>
  </si>
  <si>
    <t xml:space="preserve">Engineering tools are high-value targets for ICS threat actors</t>
  </si>
  <si>
    <t xml:space="preserve">🔴-E-025</t>
  </si>
  <si>
    <t xml:space="preserve">Jump Server Compromise</t>
  </si>
  <si>
    <t xml:space="preserve">Attacker compromises the OT jump server, which has privileged access to all OT assets, effectively gaining domain-level OT access</t>
  </si>
  <si>
    <t xml:space="preserve">Jump Server / Bastion Host</t>
  </si>
  <si>
    <t xml:space="preserve">Harden jump server (CIS Benchmarks); MFA enforced; minimal services; session recording; privileged access management</t>
  </si>
  <si>
    <t xml:space="preserve">IEC 62443-3-3 SR 1.4 / NIST SP 800-82</t>
  </si>
  <si>
    <t xml:space="preserve">Jump server is a critical single point of control — must be hardened</t>
  </si>
  <si>
    <t xml:space="preserve">🔴-E-026</t>
  </si>
  <si>
    <t xml:space="preserve">Abuse of Engineering Mode</t>
  </si>
  <si>
    <t xml:space="preserve">Attacker places a PLC in programming/engineering mode to bypass safety interlocks and execute unauthorized commands</t>
  </si>
  <si>
    <t xml:space="preserve">PLC / Safety Controller</t>
  </si>
  <si>
    <t xml:space="preserve">Physical key switch for engineering mode; dual authorization for mode change; mode change alerts to SOC; hardware interlocks</t>
  </si>
  <si>
    <t xml:space="preserve">IEC 62443-3-3 SR 2.4 / IEC 61511</t>
  </si>
  <si>
    <t xml:space="preserve">Engineering mode bypasses many safety protections</t>
  </si>
  <si>
    <t xml:space="preserve">STRIDE Threat Register — 🟢 IT Threats</t>
  </si>
  <si>
    <t xml:space="preserve">🟢-S-001</t>
  </si>
  <si>
    <t xml:space="preserve">Credential Phishing / Business Email Compromise</t>
  </si>
  <si>
    <t xml:space="preserve">Spear-phishing email targeting IT staff to steal credentials and enable lateral movement within corporate network</t>
  </si>
  <si>
    <t xml:space="preserve">Email / Active Directory</t>
  </si>
  <si>
    <t xml:space="preserve">MFA on all user accounts; anti-phishing email gateway; security awareness training; DMARC/DKIM/SPF enforcement</t>
  </si>
  <si>
    <t xml:space="preserve">NIST CSF PR.AC-1 / CIS Control 6</t>
  </si>
  <si>
    <t xml:space="preserve">Leading initial access vector; MFA reduces risk by &gt;99%</t>
  </si>
  <si>
    <t xml:space="preserve">🟢-S-002</t>
  </si>
  <si>
    <t xml:space="preserve">Kerberoasting / AS-REP Roasting</t>
  </si>
  <si>
    <t xml:space="preserve">Attacker requests Kerberos service tickets for service accounts and cracks them offline to impersonate privileged identities</t>
  </si>
  <si>
    <t xml:space="preserve">Active Directory</t>
  </si>
  <si>
    <t xml:space="preserve">Strong passwords on service accounts (&gt;25 chars); disable RC4 encryption; managed service accounts (gMSA); detect anomalous TGS requests</t>
  </si>
  <si>
    <t xml:space="preserve">NIST SP 800-63B / CIS Control 5</t>
  </si>
  <si>
    <t xml:space="preserve">Prevalent in AD environments; often undetected without EDR/SIEM</t>
  </si>
  <si>
    <t xml:space="preserve">🟢-S-003</t>
  </si>
  <si>
    <t xml:space="preserve">ARP/DNS Spoofing on Corporate LAN</t>
  </si>
  <si>
    <t xml:space="preserve">Attacker poisons ARP cache or DNS to redirect traffic and intercept credentials or sessions</t>
  </si>
  <si>
    <t xml:space="preserve">LAN / DNS</t>
  </si>
  <si>
    <t xml:space="preserve">Dynamic ARP inspection; DNSSEC; DNS over HTTPS/TLS; network monitoring for ARP anomalies; 802.1X port auth</t>
  </si>
  <si>
    <t xml:space="preserve">NIST CSF PR.AC-5 / CIS Control 12</t>
  </si>
  <si>
    <t xml:space="preserve">Often prerequisite for MitM attacks on internal services</t>
  </si>
  <si>
    <t xml:space="preserve">🟢-S-004</t>
  </si>
  <si>
    <t xml:space="preserve">OAuth/SAML Token Forgery</t>
  </si>
  <si>
    <t xml:space="preserve">Exploitation of misconfigured SSO to forge authentication tokens and access cloud or SaaS applications without valid credentials</t>
  </si>
  <si>
    <t xml:space="preserve">IAM / SSO / Cloud Apps</t>
  </si>
  <si>
    <t xml:space="preserve">Validate token signatures and claims; short token lifetimes; conditional access policies; anomaly detection on token usage</t>
  </si>
  <si>
    <t xml:space="preserve">NIST SP 800-63C / CIS Control 6</t>
  </si>
  <si>
    <t xml:space="preserve">Increasing as cloud adoption grows; GoldenSAML attacks are active</t>
  </si>
  <si>
    <t xml:space="preserve">🟢-S-005</t>
  </si>
  <si>
    <t xml:space="preserve">Cloud Identity Impersonation</t>
  </si>
  <si>
    <t xml:space="preserve">Attacker obtains cloud IAM keys or service principal credentials to impersonate cloud workloads and access resources</t>
  </si>
  <si>
    <t xml:space="preserve">Cloud IAM / API Keys</t>
  </si>
  <si>
    <t xml:space="preserve">Rotate credentials regularly; secrets management vault; disable long-term access keys; use managed identities/IAM roles</t>
  </si>
  <si>
    <t xml:space="preserve">CIS AWS/Azure Benchmarks / NIST CSF PR.AC-4</t>
  </si>
  <si>
    <t xml:space="preserve">Exposed API keys in code repos are a common breach vector</t>
  </si>
  <si>
    <t xml:space="preserve">🟢-T-006</t>
  </si>
  <si>
    <t xml:space="preserve">Supply Chain Software Compromise</t>
  </si>
  <si>
    <t xml:space="preserve">Malicious code injected into a third-party software package or update pipeline (SolarWinds-style)</t>
  </si>
  <si>
    <t xml:space="preserve">Software Supply Chain</t>
  </si>
  <si>
    <t xml:space="preserve">Software composition analysis (SCA); vendor risk assessments; code signing verification; network monitoring for unexpected egress</t>
  </si>
  <si>
    <t xml:space="preserve">NIST SP 800-161 / CIS Control 2</t>
  </si>
  <si>
    <t xml:space="preserve">High-impact, difficult to detect; affects all downstream users</t>
  </si>
  <si>
    <t xml:space="preserve">🟢-T-007</t>
  </si>
  <si>
    <t xml:space="preserve">Database Record Manipulation</t>
  </si>
  <si>
    <t xml:space="preserve">Attacker with DB access modifies critical records (financial, HR, configuration) to cause data integrity failures</t>
  </si>
  <si>
    <t xml:space="preserve">Database Server</t>
  </si>
  <si>
    <t xml:space="preserve">DB activity monitoring (DAM); immutable audit logs; least-privilege DB accounts; data integrity checksums on critical tables</t>
  </si>
  <si>
    <t xml:space="preserve">NIST CSF PR.DS-1 / CIS Control 3</t>
  </si>
  <si>
    <t xml:space="preserve">Insider threat vector as well as external attacker post-compromise</t>
  </si>
  <si>
    <t xml:space="preserve">🟢-T-008</t>
  </si>
  <si>
    <t xml:space="preserve">Web Application Parameter Tampering</t>
  </si>
  <si>
    <t xml:space="preserve">Manipulation of web application parameters (SQLi, IDOR, request tampering) to alter back-end data or logic</t>
  </si>
  <si>
    <t xml:space="preserve">Web Application</t>
  </si>
  <si>
    <t xml:space="preserve">WAF with OWASP ruleset; input validation and output encoding; parameterized queries; DAST/SAST in CI/CD pipeline</t>
  </si>
  <si>
    <t xml:space="preserve">OWASP Top 10 / NIST SP 800-53 SI-10</t>
  </si>
  <si>
    <t xml:space="preserve">OWASP Top 10 staple; automated scanners make exploitation trivial</t>
  </si>
  <si>
    <t xml:space="preserve">🟢-T-009</t>
  </si>
  <si>
    <t xml:space="preserve">Container Image Tampering</t>
  </si>
  <si>
    <t xml:space="preserve">Malicious layers injected into container images in CI/CD pipeline or registry, compromising deployed workloads</t>
  </si>
  <si>
    <t xml:space="preserve">Container Registry / CI/CD</t>
  </si>
  <si>
    <t xml:space="preserve">Image signing (Cosign/Notary); vulnerability scanning in registry; admission controllers (OPA/Kyverno); read-only root filesystems</t>
  </si>
  <si>
    <t xml:space="preserve">CIS Docker Benchmark / NIST SP 800-190</t>
  </si>
  <si>
    <t xml:space="preserve">DevSecOps practice required for cloud-native environments</t>
  </si>
  <si>
    <t xml:space="preserve">🟢-T-010</t>
  </si>
  <si>
    <t xml:space="preserve">Log Tampering / Evidence Destruction</t>
  </si>
  <si>
    <t xml:space="preserve">Attacker with elevated access clears or modifies system and application logs to cover tracks post-compromise</t>
  </si>
  <si>
    <t xml:space="preserve">SIEM / Endpoint Logs</t>
  </si>
  <si>
    <t xml:space="preserve">Forward logs in real-time to immutable SIEM; restrict log deletion permissions; WORM log storage; integrity hash chains</t>
  </si>
  <si>
    <t xml:space="preserve">NIST CSF DE.CM-1 / CIS Control 8</t>
  </si>
  <si>
    <t xml:space="preserve">Defense-in-depth requires assuming logs will be targeted</t>
  </si>
  <si>
    <t xml:space="preserve">🟢-R-011</t>
  </si>
  <si>
    <t xml:space="preserve">Insider Threat Data Exfiltration Denial</t>
  </si>
  <si>
    <t xml:space="preserve">Malicious insider exfiltrates sensitive data and denies responsibility due to inadequate user activity logging</t>
  </si>
  <si>
    <t xml:space="preserve">Endpoint / DLP</t>
  </si>
  <si>
    <t xml:space="preserve">User and Entity Behavior Analytics (UEBA); DLP with user attribution; screen recording for privileged sessions; comprehensive audit trails</t>
  </si>
  <si>
    <t xml:space="preserve">NIST SP 800-53 AU-12 / CIS Control 8</t>
  </si>
  <si>
    <t xml:space="preserve">Insider threats are among the costliest and hardest to detect</t>
  </si>
  <si>
    <t xml:space="preserve">🟢-R-012</t>
  </si>
  <si>
    <t xml:space="preserve">Shared Account Usage</t>
  </si>
  <si>
    <t xml:space="preserve">Developers or admins use shared service accounts, preventing attribution of actions to individual users</t>
  </si>
  <si>
    <t xml:space="preserve">Servers / CI/CD / Cloud</t>
  </si>
  <si>
    <t xml:space="preserve">Eliminate shared accounts; individual named accounts with MFA; PAM for privileged access; API keys tied to individual identities</t>
  </si>
  <si>
    <t xml:space="preserve">NIST CSF PR.AC-1 / CIS Control 5</t>
  </si>
  <si>
    <t xml:space="preserve">Audit finding in virtually every organization; high remediation effort</t>
  </si>
  <si>
    <t xml:space="preserve">🟢-R-013</t>
  </si>
  <si>
    <t xml:space="preserve">Cloud API Action Non-Attribution</t>
  </si>
  <si>
    <t xml:space="preserve">Cloud management API calls executed without sufficient CloudTrail/audit log coverage, preventing forensic reconstruction</t>
  </si>
  <si>
    <t xml:space="preserve">Cloud Control Plane</t>
  </si>
  <si>
    <t xml:space="preserve">Enable all cloud audit logging (CloudTrail, Azure Monitor, GCP Audit); log to centralized immutable SIEM; alert on logging disable events</t>
  </si>
  <si>
    <t xml:space="preserve">CIS AWS/Azure Benchmark / NIST CSF DE.AE-3</t>
  </si>
  <si>
    <t xml:space="preserve">Attackers routinely disable cloud logging early in intrusion</t>
  </si>
  <si>
    <t xml:space="preserve">🟢-I-014</t>
  </si>
  <si>
    <t xml:space="preserve">Ransomware Data Exfiltration (Double Extortion)</t>
  </si>
  <si>
    <t xml:space="preserve">Ransomware operators exfiltrate sensitive data before encrypting, enabling extortion even if backups exist</t>
  </si>
  <si>
    <t xml:space="preserve">File Servers / Endpoints</t>
  </si>
  <si>
    <t xml:space="preserve">EDR/XDR; network DLP; micro-segmentation; incident response retainer; cyber insurance; offline backups</t>
  </si>
  <si>
    <t xml:space="preserve">NIST CSF RC.CO-3 / CIS Control 11</t>
  </si>
  <si>
    <t xml:space="preserve">Standard ransomware modus operandi since 2020; backup alone insufficient</t>
  </si>
  <si>
    <t xml:space="preserve">🟢-I-015</t>
  </si>
  <si>
    <t xml:space="preserve">Sensitive Data Exposure in Cloud Storage</t>
  </si>
  <si>
    <t xml:space="preserve">Misconfigured S3/Blob/GCS buckets publicly expose sensitive corporate or customer data</t>
  </si>
  <si>
    <t xml:space="preserve">Cloud Object Storage</t>
  </si>
  <si>
    <t xml:space="preserve">Cloud Security Posture Management (CSPM); automated bucket policy scanning; deny-public-access org policy; data classification</t>
  </si>
  <si>
    <t xml:space="preserve">CIS AWS/Azure Benchmark / NIST CSF PR.DS-5</t>
  </si>
  <si>
    <t xml:space="preserve">Misconfigured cloud storage responsible for major breaches</t>
  </si>
  <si>
    <t xml:space="preserve">🟢-I-016</t>
  </si>
  <si>
    <t xml:space="preserve">Credential Exposure in Source Code</t>
  </si>
  <si>
    <t xml:space="preserve">API keys, passwords, or certificates committed to Git repositories and exposed to unauthorized parties</t>
  </si>
  <si>
    <t xml:space="preserve">Source Code Repository</t>
  </si>
  <si>
    <t xml:space="preserve">Pre-commit secret scanning (GitLeaks, TruffleHog); rotate all exposed credentials immediately; branch protection rules</t>
  </si>
  <si>
    <t xml:space="preserve">NIST CSF PR.DS-1 / CIS Control 14</t>
  </si>
  <si>
    <t xml:space="preserve">Common finding; automated scanning essential in DevSecOps</t>
  </si>
  <si>
    <t xml:space="preserve">🟢-I-017</t>
  </si>
  <si>
    <t xml:space="preserve">Man-in-the-Middle via Expired TLS Certificate</t>
  </si>
  <si>
    <t xml:space="preserve">Expired or invalid TLS certificate causes browser warning bypass or enables MitM with forged certificate</t>
  </si>
  <si>
    <t xml:space="preserve">Web / API Services</t>
  </si>
  <si>
    <t xml:space="preserve">Automated certificate lifecycle management (ACME); certificate transparency monitoring; strict HSTS; mutual TLS for API</t>
  </si>
  <si>
    <t xml:space="preserve">NIST SP 800-52 / CIS Control 3</t>
  </si>
  <si>
    <t xml:space="preserve">Certificate expiry is an operational failure; automation is the fix</t>
  </si>
  <si>
    <t xml:space="preserve">🟢-I-018</t>
  </si>
  <si>
    <t xml:space="preserve">Overprivileged API Access Exposing PII</t>
  </si>
  <si>
    <t xml:space="preserve">Application or service account with excessive API permissions queries and exposes PII beyond business need</t>
  </si>
  <si>
    <t xml:space="preserve">API / Microservices</t>
  </si>
  <si>
    <t xml:space="preserve">API gateway with OAuth scopes; least-privilege service accounts; PII data classification; API security testing (fuzzing)</t>
  </si>
  <si>
    <t xml:space="preserve">NIST SP 800-53 AC-6 / OWASP API Top 10</t>
  </si>
  <si>
    <t xml:space="preserve">OWASP API Security Top 10 — Broken Object Level Authorization</t>
  </si>
  <si>
    <t xml:space="preserve">🟢-D-019</t>
  </si>
  <si>
    <t xml:space="preserve">Volumetric DDoS Against Public-Facing Services</t>
  </si>
  <si>
    <t xml:space="preserve">High-volume network attack overwhelming bandwidth or compute of internet-facing applications</t>
  </si>
  <si>
    <t xml:space="preserve">Internet Edge / Web Apps</t>
  </si>
  <si>
    <t xml:space="preserve">DDoS scrubbing service (Cloudflare, AWS Shield Advanced); anycast network; rate limiting; CDN for static assets</t>
  </si>
  <si>
    <t xml:space="preserve">NIST SP 800-61 / CIS Control 12</t>
  </si>
  <si>
    <t xml:space="preserve">Cloud DDoS mitigation is mature and should be standard practice</t>
  </si>
  <si>
    <t xml:space="preserve">🟢-D-020</t>
  </si>
  <si>
    <t xml:space="preserve">Application Layer (L7) DDoS</t>
  </si>
  <si>
    <t xml:space="preserve">Low-and-slow or targeted HTTP flood exploiting application logic to exhaust server resources</t>
  </si>
  <si>
    <t xml:space="preserve">Web Application / API</t>
  </si>
  <si>
    <t xml:space="preserve">WAF rate limiting; CAPTCHA challenges; bot management; horizontal auto-scaling; anomaly-based rate throttling</t>
  </si>
  <si>
    <t xml:space="preserve">NIST SP 800-53 SC-5 / CIS Control 12</t>
  </si>
  <si>
    <t xml:space="preserve">Harder to detect than volumetric — requires application-aware controls</t>
  </si>
  <si>
    <t xml:space="preserve">🟢-D-021</t>
  </si>
  <si>
    <t xml:space="preserve">Ransomware Encrypting Critical IT Systems</t>
  </si>
  <si>
    <t xml:space="preserve">Ransomware encrypts file servers, domain controllers, and backup systems causing operational shutdown</t>
  </si>
  <si>
    <t xml:space="preserve">IT Infrastructure</t>
  </si>
  <si>
    <t xml:space="preserve">Offline immutable backups; network segmentation; EDR with rollback capability; tested IR and DR plan; AD tiering</t>
  </si>
  <si>
    <t xml:space="preserve">NIST CSF RC.RP-1 / CIS Control 11</t>
  </si>
  <si>
    <t xml:space="preserve">Recovery planning and backup testing are the primary resilience controls</t>
  </si>
  <si>
    <t xml:space="preserve">🟢-D-022</t>
  </si>
  <si>
    <t xml:space="preserve">Cloud Resource Exhaustion / Budget Attack</t>
  </si>
  <si>
    <t xml:space="preserve">Attacker spawns massive cloud resources using compromised credentials, causing service degradation and financial impact</t>
  </si>
  <si>
    <t xml:space="preserve">Cloud Account</t>
  </si>
  <si>
    <t xml:space="preserve">Cloud spending alerts and budget caps; anomaly detection on API call volumes; MFA on cloud root/break-glass accounts</t>
  </si>
  <si>
    <t xml:space="preserve">CIS Cloud Benchmark / NIST CSF PR.AC-4</t>
  </si>
  <si>
    <t xml:space="preserve">Credential theft targeting cloud accounts for cryptomining is widespread</t>
  </si>
  <si>
    <t xml:space="preserve">🟢-E-023</t>
  </si>
  <si>
    <t xml:space="preserve">Local Privilege Escalation via Unpatched OS</t>
  </si>
  <si>
    <t xml:space="preserve">Exploitation of OS kernel or service vulnerability to escalate from user to SYSTEM/root on an endpoint or server</t>
  </si>
  <si>
    <t xml:space="preserve">Endpoint / Server</t>
  </si>
  <si>
    <t xml:space="preserve">Patch management &lt;30 day SLA for critical vulns; EDR behavioral detection; least-privilege user accounts; vulnerability management</t>
  </si>
  <si>
    <t xml:space="preserve">NIST SP 800-53 SI-2 / CIS Control 7</t>
  </si>
  <si>
    <t xml:space="preserve">Patch velocity is the primary defense; EDR as compensating control</t>
  </si>
  <si>
    <t xml:space="preserve">🟢-E-024</t>
  </si>
  <si>
    <t xml:space="preserve">Active Directory Privilege Escalation (DCSync/Golden Ticket)</t>
  </si>
  <si>
    <t xml:space="preserve">Attacker with sufficient AD permissions performs DCSync or forges Kerberos Golden Ticket to achieve domain dominance</t>
  </si>
  <si>
    <t xml:space="preserve">Tier AD administration model; protect Domain Admins; monitor DCSync replication events; deploy AD audit solution (e.g. Microsoft Defender for Identity)</t>
  </si>
  <si>
    <t xml:space="preserve">NIST SP 800-53 AC-6 / CIS Control 5</t>
  </si>
  <si>
    <t xml:space="preserve">Golden Ticket persistence can survive password resets — requires krbtgt rotation</t>
  </si>
  <si>
    <t xml:space="preserve">🟢-E-025</t>
  </si>
  <si>
    <t xml:space="preserve">Container Escape to Host</t>
  </si>
  <si>
    <t xml:space="preserve">Exploitation of container runtime vulnerability or misconfiguration to break out of container to underlying host</t>
  </si>
  <si>
    <t xml:space="preserve">Container Runtime / K8s</t>
  </si>
  <si>
    <t xml:space="preserve">No privileged containers; read-only root filesystem; seccomp/AppArmor profiles; K8s network policies; runtime security (Falco)</t>
  </si>
  <si>
    <t xml:space="preserve">CIS Kubernetes Benchmark / NIST SP 800-190</t>
  </si>
  <si>
    <t xml:space="preserve">Privileged containers are equivalent to host root access</t>
  </si>
  <si>
    <t xml:space="preserve">🟢-E-026</t>
  </si>
  <si>
    <t xml:space="preserve">Cloud IAM Privilege Escalation</t>
  </si>
  <si>
    <t xml:space="preserve">Attacker with limited cloud permissions exploits misconfigured IAM policies to escalate to admin-level cloud access</t>
  </si>
  <si>
    <t xml:space="preserve">Cloud IAM</t>
  </si>
  <si>
    <t xml:space="preserve">IAM Access Analyzer; least-privilege IAM policies; SCPs in AWS Organizations; Privileged Identity Management (PIM) in Azure</t>
  </si>
  <si>
    <t xml:space="preserve">Common in cloud environments; automated analysis tools are available</t>
  </si>
  <si>
    <t xml:space="preserve">🟢-E-027</t>
  </si>
  <si>
    <t xml:space="preserve">Sudo/Sudoers Misconfiguration Exploitation</t>
  </si>
  <si>
    <t xml:space="preserve">Overly permissive sudoers file on Linux allows low-privilege user to execute arbitrary commands as root</t>
  </si>
  <si>
    <t xml:space="preserve">Linux Servers</t>
  </si>
  <si>
    <t xml:space="preserve">Audit sudoers files; restrict sudo to specific commands; use PAM for sudo; centralized privilege management; SIEM alerts on sudo usage</t>
  </si>
  <si>
    <t xml:space="preserve">CIS Linux Benchmark / NIST SP 800-53 AC-6</t>
  </si>
  <si>
    <t xml:space="preserve">GTFOBins documents hundreds of sudo misconfigs that enable privilege escalation</t>
  </si>
  <si>
    <t xml:space="preserve">STRIDE Threat Register — 🔵 Shared Threats</t>
  </si>
  <si>
    <t xml:space="preserve">🔵-S-001</t>
  </si>
  <si>
    <t xml:space="preserve">Insider Threat Identity Impersonation</t>
  </si>
  <si>
    <t xml:space="preserve">Malicious insider uses a colleague's credentials or session to perform unauthorized actions while avoiding detection</t>
  </si>
  <si>
    <t xml:space="preserve">All Systems</t>
  </si>
  <si>
    <t xml:space="preserve">MFA everywhere; session binding; UEBA for anomalous access patterns; least-privilege; background checks and access reviews</t>
  </si>
  <si>
    <t xml:space="preserve">NIST SP 800-53 AC-2 / IEC 62443-2-1</t>
  </si>
  <si>
    <t xml:space="preserve">Hardest threat to detect; behavioral analytics are key</t>
  </si>
  <si>
    <t xml:space="preserve">🔵-S-002</t>
  </si>
  <si>
    <t xml:space="preserve">Third-Party / Vendor Account Compromise</t>
  </si>
  <si>
    <t xml:space="preserve">Attacker compromises a vendor's account that has persistent access to IT and OT environments</t>
  </si>
  <si>
    <t xml:space="preserve">Vendor Access / Remote Access</t>
  </si>
  <si>
    <t xml:space="preserve">Third-party access management platform; JIT/JEA access; MFA mandatory for vendors; continuous vendor risk monitoring</t>
  </si>
  <si>
    <t xml:space="preserve">IEC 62443-2-4 / NIST SP 800-161</t>
  </si>
  <si>
    <t xml:space="preserve">Third-party access is the #1 OT breach vector; review all persistent vendor accounts</t>
  </si>
  <si>
    <t xml:space="preserve">🔵-T-003</t>
  </si>
  <si>
    <t xml:space="preserve">Ransomware Across IT/OT Boundary</t>
  </si>
  <si>
    <t xml:space="preserve">Ransomware originating in IT propagates into OT network, encrypting historian, SCADA servers, and HMIs</t>
  </si>
  <si>
    <t xml:space="preserve">IT/OT DMZ / SCADA</t>
  </si>
  <si>
    <t xml:space="preserve">Enforce IT/OT network segmentation; disable unnecessary IT-OT connectivity; offline OT backups; OT-specific IR playbook</t>
  </si>
  <si>
    <t xml:space="preserve">IEC 62443-3-3 / NIST CSF RC.RP-1</t>
  </si>
  <si>
    <t xml:space="preserve">Colonial Pipeline demonstrated the operational impact; preparedness is essential</t>
  </si>
  <si>
    <t xml:space="preserve">🔵-T-004</t>
  </si>
  <si>
    <t xml:space="preserve">Malicious Firmware/Software Update</t>
  </si>
  <si>
    <t xml:space="preserve">Attacker injects malicious code into a legitimate update package delivered via the vendor update channel</t>
  </si>
  <si>
    <t xml:space="preserve">Update Servers / Vendor Channels</t>
  </si>
  <si>
    <t xml:space="preserve">Verify digital signatures on all updates; out-of-band update validation; test updates in lab before production; monitor update sources</t>
  </si>
  <si>
    <t xml:space="preserve">NIST SP 800-161 / IEC 62443-2-4</t>
  </si>
  <si>
    <t xml:space="preserve">SolarWinds, ASUS, Kaseya — supply chain attacks are increasing</t>
  </si>
  <si>
    <t xml:space="preserve">🔵-R-005</t>
  </si>
  <si>
    <t xml:space="preserve">Audit Log Gaps Across IT/OT Boundary</t>
  </si>
  <si>
    <t xml:space="preserve">Insufficient logging at the IT/OT interface prevents reconstruction of cross-boundary attack paths</t>
  </si>
  <si>
    <t xml:space="preserve">IT/OT DMZ / Firewalls</t>
  </si>
  <si>
    <t xml:space="preserve">Centralized SIEM ingesting both IT and OT logs; OT-aware log parsing (Dragos, Claroty); consistent timestamp synchronization (NTP)</t>
  </si>
  <si>
    <t xml:space="preserve">IEC 62443-3-3 SR 2.8 / NIST SP 800-92</t>
  </si>
  <si>
    <t xml:space="preserve">Cross-domain log correlation is essential for OT incident response</t>
  </si>
  <si>
    <t xml:space="preserve">🔵-I-006</t>
  </si>
  <si>
    <t xml:space="preserve">Sensitive Data Traversing Unencrypted Channels</t>
  </si>
  <si>
    <t xml:space="preserve">Proprietary process data or business data transmitted without encryption across network segments</t>
  </si>
  <si>
    <t xml:space="preserve">Network / Cross-Domain Links</t>
  </si>
  <si>
    <t xml:space="preserve">TLS 1.2/1.3 for all data in transit; data diodes for one-way OT data feeds; DLP on cross-boundary flows; network traffic analysis</t>
  </si>
  <si>
    <t xml:space="preserve">IEC 62443-3-3 SR 5.1 / NIST CSF PR.DS-2</t>
  </si>
  <si>
    <t xml:space="preserve">Legacy OT protocols are inherently unencrypted; compensating controls needed</t>
  </si>
  <si>
    <t xml:space="preserve">🔵-I-007</t>
  </si>
  <si>
    <t xml:space="preserve">Vulnerability Scanner Data Exposure</t>
  </si>
  <si>
    <t xml:space="preserve">Active vulnerability scanning of OT devices crashes them and/or the scan results expose detailed asset inventory to attacker</t>
  </si>
  <si>
    <t xml:space="preserve">OT/IT Asset Inventory</t>
  </si>
  <si>
    <t xml:space="preserve">Passive OT-safe asset discovery (Claroty, Dragos, Nozomi); restrict scanner access; protect vulnerability reports as sensitive</t>
  </si>
  <si>
    <t xml:space="preserve">Active scanning of OT is dangerous — passive discovery is mandatory</t>
  </si>
  <si>
    <t xml:space="preserve">🔵-D-008</t>
  </si>
  <si>
    <t xml:space="preserve">Firewall Rule Misconfiguration Enabling Attack Path</t>
  </si>
  <si>
    <t xml:space="preserve">Incorrect firewall rules allow attacker traffic to reach critical IT or OT assets directly</t>
  </si>
  <si>
    <t xml:space="preserve">Firewall / Network Boundary</t>
  </si>
  <si>
    <t xml:space="preserve">Firewall rule review and audit; automated firewall policy analysis tools; change management for firewall rules; network segmentation validation</t>
  </si>
  <si>
    <t xml:space="preserve">IEC 62443-3-3 SR 5.1 / NIST CSF PR.AC-5</t>
  </si>
  <si>
    <t xml:space="preserve">Firewall misconfigs are pervasive; automated auditing is underutilized</t>
  </si>
  <si>
    <t xml:space="preserve">🔵-D-009</t>
  </si>
  <si>
    <t xml:space="preserve">Physical Destruction via Cyber Attack</t>
  </si>
  <si>
    <t xml:space="preserve">Cyber attack causes physical damage to equipment by driving it outside safe operating parameters (e.g., Industroyer)</t>
  </si>
  <si>
    <t xml:space="preserve">Physical Plant / ICS Equipment</t>
  </si>
  <si>
    <t xml:space="preserve">Safety Instrumented Systems independent of control network; physical safety interlocks; process anomaly detection; cyber-physical impact assessment</t>
  </si>
  <si>
    <t xml:space="preserve">Highest consequence OT scenario — defense-in-depth with independent safety layer</t>
  </si>
  <si>
    <t xml:space="preserve">🔵-E-010</t>
  </si>
  <si>
    <t xml:space="preserve">Lateral Movement from IT to OT</t>
  </si>
  <si>
    <t xml:space="preserve">Attacker compromised in IT network pivots into OT network through inadequate segmentation or dual-homed hosts</t>
  </si>
  <si>
    <t xml:space="preserve">IT/OT Boundary / DMZ</t>
  </si>
  <si>
    <t xml:space="preserve">Eliminate dual-homed hosts; strict DMZ architecture; micro-segmentation; OT network monitoring for anomalous connections; jump servers with MFA</t>
  </si>
  <si>
    <t xml:space="preserve">Most OT compromises begin with IT breach followed by lateral movement</t>
  </si>
  <si>
    <t xml:space="preserve">🔵-E-011</t>
  </si>
  <si>
    <t xml:space="preserve">Privileged Account Misuse (PAM Gap)</t>
  </si>
  <si>
    <t xml:space="preserve">Privileged accounts (domain admin, root, engineering admin) used without proper vaulting, monitoring, or time-limited access</t>
  </si>
  <si>
    <t xml:space="preserve">IT/OT Privileged Accounts</t>
  </si>
  <si>
    <t xml:space="preserve">Privileged Access Management (PAM) platform covering IT and OT; credential vaulting; session recording; just-in-time access; quarterly access reviews</t>
  </si>
  <si>
    <t xml:space="preserve">IEC 62443-3-3 SR 1.3 / NIST SP 800-53 AC-2</t>
  </si>
  <si>
    <t xml:space="preserve">Unified PAM across IT and OT is a foundational security 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</si>
</sst>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7B00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92D050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A2B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1A2B4A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27">
    <fill>
      <patternFill patternType="none"/>
    </fill>
    <fill>
      <patternFill patternType="gray125"/>
    </fill>
    <fill>
      <patternFill patternType="solid">
        <fgColor rgb="FF1A2B4A"/>
        <bgColor rgb="FF003366"/>
      </patternFill>
    </fill>
    <fill>
      <patternFill patternType="solid">
        <fgColor rgb="FF2D3A7B"/>
        <bgColor rgb="FF1A2B4A"/>
      </patternFill>
    </fill>
    <fill>
      <patternFill patternType="solid">
        <fgColor rgb="FF4472C4"/>
        <bgColor rgb="FF666699"/>
      </patternFill>
    </fill>
    <fill>
      <patternFill patternType="solid">
        <fgColor rgb="FFF7F7F7"/>
        <bgColor rgb="FFFFFFFF"/>
      </patternFill>
    </fill>
    <fill>
      <patternFill patternType="solid">
        <fgColor rgb="FFED7D31"/>
        <bgColor rgb="FFFF7B00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D4EDDA"/>
        <bgColor rgb="FFCCF5D4"/>
      </patternFill>
    </fill>
    <fill>
      <patternFill patternType="solid">
        <fgColor rgb="FFFFF3CD"/>
        <bgColor rgb="FFFFF9C4"/>
      </patternFill>
    </fill>
    <fill>
      <patternFill patternType="solid">
        <fgColor rgb="FFF8D7DA"/>
        <bgColor rgb="FFF5CCCC"/>
      </patternFill>
    </fill>
    <fill>
      <patternFill patternType="solid">
        <fgColor rgb="FFE0E0E0"/>
        <bgColor rgb="FFE5E9FA"/>
      </patternFill>
    </fill>
    <fill>
      <patternFill patternType="solid">
        <fgColor rgb="FF7B2D2D"/>
        <bgColor rgb="FF721C24"/>
      </patternFill>
    </fill>
    <fill>
      <patternFill patternType="solid">
        <fgColor rgb="FFFAE5E5"/>
        <bgColor rgb="FFF8D7DA"/>
      </patternFill>
    </fill>
    <fill>
      <patternFill patternType="solid">
        <fgColor rgb="FF1A4A2B"/>
        <bgColor rgb="FF155724"/>
      </patternFill>
    </fill>
    <fill>
      <patternFill patternType="solid">
        <fgColor rgb="FFE5FAE9"/>
        <bgColor rgb="FFF7F7F7"/>
      </patternFill>
    </fill>
    <fill>
      <patternFill patternType="solid">
        <fgColor rgb="FFE5E9FA"/>
        <bgColor rgb="FFE0E0E0"/>
      </patternFill>
    </fill>
    <fill>
      <patternFill patternType="solid">
        <fgColor rgb="FFFFFFFF"/>
        <bgColor rgb="FFF7F7F7"/>
      </patternFill>
    </fill>
    <fill>
      <patternFill patternType="solid">
        <fgColor rgb="FFA9D18E"/>
        <bgColor rgb="FF92D050"/>
      </patternFill>
    </fill>
    <fill>
      <patternFill patternType="solid">
        <fgColor rgb="FFFFF9C4"/>
        <bgColor rgb="FFFFF3CD"/>
      </patternFill>
    </fill>
    <fill>
      <patternFill patternType="solid">
        <fgColor rgb="FFF5CCCC"/>
        <bgColor rgb="FFF8D7DA"/>
      </patternFill>
    </fill>
    <fill>
      <patternFill patternType="solid">
        <fgColor rgb="FFFF7B00"/>
        <bgColor rgb="FFED7D31"/>
      </patternFill>
    </fill>
    <fill>
      <patternFill patternType="solid">
        <fgColor rgb="FFCCF5D4"/>
        <bgColor rgb="FFD4EDDA"/>
      </patternFill>
    </fill>
    <fill>
      <patternFill patternType="solid">
        <fgColor rgb="FFCCD0F5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 diagonalUp="false" diagonalDown="false"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2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2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155724"/>
        <sz val="9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856404"/>
        <sz val="9"/>
      </font>
      <fill>
        <patternFill>
          <bgColor rgb="FFFFF3CD"/>
        </patternFill>
      </fill>
    </dxf>
    <dxf>
      <font>
        <name val="Arial"/>
        <charset val="1"/>
        <family val="0"/>
        <b val="1"/>
        <color rgb="FF721C24"/>
        <sz val="9"/>
      </font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AE5E5"/>
      <rgbColor rgb="FFFF00FF"/>
      <rgbColor rgb="FF00FFFF"/>
      <rgbColor rgb="FF721C24"/>
      <rgbColor rgb="FF008000"/>
      <rgbColor rgb="FF000080"/>
      <rgbColor rgb="FF856404"/>
      <rgbColor rgb="FF800080"/>
      <rgbColor rgb="FF008080"/>
      <rgbColor rgb="FFCCCCCC"/>
      <rgbColor rgb="FF888888"/>
      <rgbColor rgb="FFE5E9FA"/>
      <rgbColor rgb="FF7030A0"/>
      <rgbColor rgb="FFFFF9C4"/>
      <rgbColor rgb="FFE5FAE9"/>
      <rgbColor rgb="FF660066"/>
      <rgbColor rgb="FFED7D31"/>
      <rgbColor rgb="FF0066CC"/>
      <rgbColor rgb="FFCCD0F5"/>
      <rgbColor rgb="FF000080"/>
      <rgbColor rgb="FFFF00FF"/>
      <rgbColor rgb="FFF7F7F7"/>
      <rgbColor rgb="FF00FFFF"/>
      <rgbColor rgb="FF800080"/>
      <rgbColor rgb="FF800000"/>
      <rgbColor rgb="FF008080"/>
      <rgbColor rgb="FF0000FF"/>
      <rgbColor rgb="FF00CCFF"/>
      <rgbColor rgb="FFD4EDDA"/>
      <rgbColor rgb="FFCCF5D4"/>
      <rgbColor rgb="FFFFF3CD"/>
      <rgbColor rgb="FFA9D18E"/>
      <rgbColor rgb="FFF8D7DA"/>
      <rgbColor rgb="FFE0E0E0"/>
      <rgbColor rgb="FFF5CCCC"/>
      <rgbColor rgb="FF4472C4"/>
      <rgbColor rgb="FF33CCCC"/>
      <rgbColor rgb="FF92D050"/>
      <rgbColor rgb="FFFFC000"/>
      <rgbColor rgb="FFFF9900"/>
      <rgbColor rgb="FFFF7B00"/>
      <rgbColor rgb="FF666699"/>
      <rgbColor rgb="FF70AD47"/>
      <rgbColor rgb="FF003366"/>
      <rgbColor rgb="FF339966"/>
      <rgbColor rgb="FF155724"/>
      <rgbColor rgb="FF1A4A2B"/>
      <rgbColor rgb="FF7B2D2D"/>
      <rgbColor rgb="FF993366"/>
      <rgbColor rgb="FF2D3A7B"/>
      <rgbColor rgb="FF1A2B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5" min="4" style="0" width="22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9.75" hidden="false" customHeight="true" outlineLevel="0" collapsed="false"/>
    <row r="5" customFormat="false" ht="19.5" hidden="false" customHeight="tru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9.5" hidden="false" customHeight="true" outlineLevel="0" collapsed="false">
      <c r="B6" s="4" t="s">
        <v>6</v>
      </c>
      <c r="C6" s="5" t="s">
        <v>7</v>
      </c>
      <c r="D6" s="4" t="s">
        <v>8</v>
      </c>
      <c r="E6" s="6" t="s">
        <v>9</v>
      </c>
    </row>
    <row r="7" customFormat="false" ht="19.5" hidden="false" customHeight="true" outlineLevel="0" collapsed="false">
      <c r="B7" s="7" t="s">
        <v>10</v>
      </c>
      <c r="C7" s="5" t="s">
        <v>11</v>
      </c>
      <c r="D7" s="7" t="s">
        <v>12</v>
      </c>
      <c r="E7" s="8" t="s">
        <v>13</v>
      </c>
    </row>
    <row r="8" customFormat="false" ht="19.5" hidden="false" customHeight="true" outlineLevel="0" collapsed="false">
      <c r="B8" s="9" t="s">
        <v>14</v>
      </c>
      <c r="C8" s="5" t="s">
        <v>15</v>
      </c>
      <c r="D8" s="9" t="s">
        <v>16</v>
      </c>
      <c r="E8" s="10" t="s">
        <v>17</v>
      </c>
    </row>
    <row r="9" customFormat="false" ht="19.5" hidden="false" customHeight="true" outlineLevel="0" collapsed="false">
      <c r="B9" s="11" t="s">
        <v>18</v>
      </c>
      <c r="C9" s="5" t="s">
        <v>19</v>
      </c>
      <c r="D9" s="11" t="s">
        <v>20</v>
      </c>
      <c r="E9" s="12" t="s">
        <v>21</v>
      </c>
    </row>
    <row r="10" customFormat="false" ht="19.5" hidden="false" customHeight="true" outlineLevel="0" collapsed="false">
      <c r="B10" s="13" t="s">
        <v>22</v>
      </c>
      <c r="C10" s="5" t="s">
        <v>23</v>
      </c>
      <c r="D10" s="13" t="s">
        <v>24</v>
      </c>
      <c r="E10" s="14" t="s">
        <v>25</v>
      </c>
    </row>
    <row r="11" customFormat="false" ht="19.5" hidden="false" customHeight="true" outlineLevel="0" collapsed="false">
      <c r="B11" s="15" t="s">
        <v>26</v>
      </c>
      <c r="C11" s="5" t="s">
        <v>27</v>
      </c>
      <c r="D11" s="15" t="s">
        <v>28</v>
      </c>
      <c r="E11" s="16" t="s">
        <v>29</v>
      </c>
    </row>
    <row r="13" customFormat="false" ht="9.75" hidden="false" customHeight="true" outlineLevel="0" collapsed="false"/>
    <row r="14" customFormat="false" ht="19.5" hidden="false" customHeight="true" outlineLevel="0" collapsed="false">
      <c r="B14" s="3" t="s">
        <v>30</v>
      </c>
      <c r="C14" s="3" t="s">
        <v>31</v>
      </c>
      <c r="D14" s="17" t="s">
        <v>32</v>
      </c>
      <c r="E14" s="17"/>
    </row>
    <row r="15" customFormat="false" ht="19.5" hidden="false" customHeight="true" outlineLevel="0" collapsed="false">
      <c r="B15" s="18" t="s">
        <v>33</v>
      </c>
      <c r="C15" s="5" t="s">
        <v>34</v>
      </c>
      <c r="D15" s="19" t="s">
        <v>35</v>
      </c>
      <c r="E15" s="19"/>
    </row>
    <row r="16" customFormat="false" ht="19.5" hidden="false" customHeight="true" outlineLevel="0" collapsed="false">
      <c r="B16" s="20" t="s">
        <v>36</v>
      </c>
      <c r="C16" s="5" t="s">
        <v>37</v>
      </c>
      <c r="D16" s="19" t="s">
        <v>35</v>
      </c>
      <c r="E16" s="19"/>
    </row>
    <row r="17" customFormat="false" ht="19.5" hidden="false" customHeight="true" outlineLevel="0" collapsed="false">
      <c r="B17" s="21" t="s">
        <v>38</v>
      </c>
      <c r="C17" s="5" t="s">
        <v>39</v>
      </c>
      <c r="D17" s="19" t="s">
        <v>35</v>
      </c>
      <c r="E17" s="19"/>
    </row>
    <row r="18" customFormat="false" ht="19.5" hidden="false" customHeight="true" outlineLevel="0" collapsed="false">
      <c r="B18" s="22" t="s">
        <v>40</v>
      </c>
      <c r="C18" s="5" t="s">
        <v>41</v>
      </c>
      <c r="D18" s="19" t="s">
        <v>35</v>
      </c>
      <c r="E18" s="19"/>
    </row>
    <row r="20" customFormat="false" ht="9.75" hidden="false" customHeight="true" outlineLevel="0" collapsed="false"/>
    <row r="21" customFormat="false" ht="19.5" hidden="false" customHeight="true" outlineLevel="0" collapsed="false">
      <c r="B21" s="3" t="s">
        <v>42</v>
      </c>
      <c r="C21" s="3" t="s">
        <v>3</v>
      </c>
    </row>
    <row r="22" customFormat="false" ht="19.5" hidden="false" customHeight="true" outlineLevel="0" collapsed="false">
      <c r="B22" s="23" t="s">
        <v>43</v>
      </c>
      <c r="C22" s="24" t="s">
        <v>44</v>
      </c>
    </row>
    <row r="23" customFormat="false" ht="19.5" hidden="false" customHeight="true" outlineLevel="0" collapsed="false">
      <c r="B23" s="25" t="s">
        <v>45</v>
      </c>
      <c r="C23" s="26" t="s">
        <v>46</v>
      </c>
    </row>
    <row r="24" customFormat="false" ht="19.5" hidden="false" customHeight="true" outlineLevel="0" collapsed="false">
      <c r="B24" s="27" t="s">
        <v>47</v>
      </c>
      <c r="C24" s="28" t="s">
        <v>48</v>
      </c>
    </row>
    <row r="26" customFormat="false" ht="9.75" hidden="false" customHeight="true" outlineLevel="0" collapsed="false"/>
    <row r="27" customFormat="false" ht="19.5" hidden="false" customHeight="true" outlineLevel="0" collapsed="false">
      <c r="B27" s="3" t="s">
        <v>49</v>
      </c>
      <c r="C27" s="29"/>
      <c r="D27" s="29"/>
      <c r="E27" s="29"/>
    </row>
    <row r="28" customFormat="false" ht="18" hidden="false" customHeight="true" outlineLevel="0" collapsed="false">
      <c r="B28" s="30" t="s">
        <v>50</v>
      </c>
      <c r="C28" s="31" t="s">
        <v>51</v>
      </c>
      <c r="D28" s="31"/>
      <c r="E28" s="31"/>
    </row>
    <row r="29" customFormat="false" ht="18" hidden="false" customHeight="true" outlineLevel="0" collapsed="false">
      <c r="B29" s="30" t="s">
        <v>2</v>
      </c>
      <c r="C29" s="31" t="s">
        <v>52</v>
      </c>
      <c r="D29" s="31"/>
      <c r="E29" s="31"/>
    </row>
    <row r="30" customFormat="false" ht="18" hidden="false" customHeight="true" outlineLevel="0" collapsed="false">
      <c r="B30" s="30" t="s">
        <v>53</v>
      </c>
      <c r="C30" s="31" t="s">
        <v>54</v>
      </c>
      <c r="D30" s="31"/>
      <c r="E30" s="31"/>
    </row>
    <row r="31" customFormat="false" ht="18" hidden="false" customHeight="true" outlineLevel="0" collapsed="false">
      <c r="B31" s="30" t="s">
        <v>55</v>
      </c>
      <c r="C31" s="31" t="s">
        <v>56</v>
      </c>
      <c r="D31" s="31"/>
      <c r="E31" s="31"/>
    </row>
    <row r="32" customFormat="false" ht="18" hidden="false" customHeight="true" outlineLevel="0" collapsed="false">
      <c r="B32" s="30" t="s">
        <v>57</v>
      </c>
      <c r="C32" s="31" t="s">
        <v>58</v>
      </c>
      <c r="D32" s="31"/>
      <c r="E32" s="31"/>
    </row>
    <row r="33" customFormat="false" ht="18" hidden="false" customHeight="true" outlineLevel="0" collapsed="false">
      <c r="B33" s="30" t="s">
        <v>59</v>
      </c>
      <c r="C33" s="31" t="s">
        <v>60</v>
      </c>
      <c r="D33" s="31"/>
      <c r="E33" s="31"/>
    </row>
    <row r="34" customFormat="false" ht="18" hidden="false" customHeight="true" outlineLevel="0" collapsed="false">
      <c r="B34" s="30" t="s">
        <v>61</v>
      </c>
      <c r="C34" s="31" t="s">
        <v>62</v>
      </c>
      <c r="D34" s="31"/>
      <c r="E34" s="31"/>
    </row>
    <row r="35" customFormat="false" ht="18" hidden="false" customHeight="true" outlineLevel="0" collapsed="false">
      <c r="B35" s="30" t="s">
        <v>63</v>
      </c>
      <c r="C35" s="31" t="s">
        <v>64</v>
      </c>
      <c r="D35" s="31"/>
      <c r="E35" s="31"/>
    </row>
    <row r="36" customFormat="false" ht="18" hidden="false" customHeight="true" outlineLevel="0" collapsed="false">
      <c r="B36" s="30" t="s">
        <v>65</v>
      </c>
      <c r="C36" s="31" t="s">
        <v>66</v>
      </c>
      <c r="D36" s="31"/>
      <c r="E36" s="31"/>
    </row>
    <row r="37" customFormat="false" ht="18" hidden="false" customHeight="true" outlineLevel="0" collapsed="false">
      <c r="B37" s="30" t="s">
        <v>67</v>
      </c>
      <c r="C37" s="31" t="s">
        <v>68</v>
      </c>
      <c r="D37" s="31"/>
      <c r="E37" s="31"/>
    </row>
    <row r="38" customFormat="false" ht="18" hidden="false" customHeight="true" outlineLevel="0" collapsed="false">
      <c r="B38" s="30" t="s">
        <v>69</v>
      </c>
      <c r="C38" s="31" t="s">
        <v>70</v>
      </c>
      <c r="D38" s="31"/>
      <c r="E38" s="31"/>
    </row>
    <row r="39" customFormat="false" ht="18" hidden="false" customHeight="true" outlineLevel="0" collapsed="false">
      <c r="B39" s="30" t="s">
        <v>71</v>
      </c>
      <c r="C39" s="31" t="s">
        <v>72</v>
      </c>
      <c r="D39" s="31"/>
      <c r="E39" s="31"/>
    </row>
    <row r="40" customFormat="false" ht="18" hidden="false" customHeight="true" outlineLevel="0" collapsed="false">
      <c r="B40" s="30" t="s">
        <v>73</v>
      </c>
      <c r="C40" s="31" t="s">
        <v>74</v>
      </c>
      <c r="D40" s="31"/>
      <c r="E40" s="31"/>
    </row>
    <row r="41" customFormat="false" ht="18" hidden="false" customHeight="true" outlineLevel="0" collapsed="false">
      <c r="B41" s="30" t="s">
        <v>75</v>
      </c>
      <c r="C41" s="31" t="s">
        <v>76</v>
      </c>
      <c r="D41" s="31"/>
      <c r="E41" s="31"/>
    </row>
    <row r="42" customFormat="false" ht="18" hidden="false" customHeight="true" outlineLevel="0" collapsed="false">
      <c r="B42" s="30" t="s">
        <v>77</v>
      </c>
      <c r="C42" s="31" t="s">
        <v>78</v>
      </c>
      <c r="D42" s="31"/>
      <c r="E42" s="31"/>
    </row>
  </sheetData>
  <mergeCells count="23">
    <mergeCell ref="B2:E2"/>
    <mergeCell ref="B3:E3"/>
    <mergeCell ref="D14:E14"/>
    <mergeCell ref="D15:E15"/>
    <mergeCell ref="D16:E16"/>
    <mergeCell ref="D17:E17"/>
    <mergeCell ref="D18:E18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  <col collapsed="false" customWidth="true" hidden="false" outlineLevel="0" max="7" min="7" style="0" width="22"/>
  </cols>
  <sheetData>
    <row r="1" customFormat="false" ht="7.5" hidden="false" customHeight="true" outlineLevel="0" collapsed="false"/>
    <row r="2" customFormat="false" ht="33.75" hidden="false" customHeight="true" outlineLevel="0" collapsed="false">
      <c r="B2" s="32" t="s">
        <v>79</v>
      </c>
      <c r="C2" s="32"/>
      <c r="D2" s="32"/>
      <c r="E2" s="32"/>
      <c r="F2" s="32"/>
      <c r="G2" s="32"/>
    </row>
    <row r="3" customFormat="false" ht="7.5" hidden="false" customHeight="true" outlineLevel="0" collapsed="false"/>
    <row r="4" customFormat="false" ht="21.75" hidden="false" customHeight="true" outlineLevel="0" collapsed="false">
      <c r="B4" s="33" t="s">
        <v>80</v>
      </c>
      <c r="C4" s="33"/>
      <c r="D4" s="33"/>
      <c r="E4" s="33"/>
      <c r="F4" s="33"/>
      <c r="G4" s="33"/>
    </row>
    <row r="5" customFormat="false" ht="19.5" hidden="false" customHeight="true" outlineLevel="0" collapsed="false">
      <c r="B5" s="34" t="s">
        <v>81</v>
      </c>
      <c r="C5" s="34" t="s">
        <v>82</v>
      </c>
      <c r="D5" s="34" t="s">
        <v>83</v>
      </c>
      <c r="E5" s="34" t="s">
        <v>84</v>
      </c>
      <c r="F5" s="34" t="s">
        <v>85</v>
      </c>
      <c r="G5" s="34" t="s">
        <v>86</v>
      </c>
    </row>
    <row r="6" customFormat="false" ht="19.5" hidden="false" customHeight="true" outlineLevel="0" collapsed="false">
      <c r="B6" s="35" t="s">
        <v>87</v>
      </c>
      <c r="C6" s="36" t="n">
        <f aca="false">COUNTIF('🔴 OT Threats'!I4:I29,"CRITICAL")</f>
        <v>6</v>
      </c>
      <c r="D6" s="36" t="n">
        <f aca="false">COUNTIF('🔴 OT Threats'!I4:I29,"HIGH")</f>
        <v>20</v>
      </c>
      <c r="E6" s="36" t="n">
        <f aca="false">COUNTIF('🔴 OT Threats'!I4:I29,"MEDIUM")</f>
        <v>0</v>
      </c>
      <c r="F6" s="36" t="n">
        <f aca="false">COUNTIF('🔴 OT Threats'!I4:I29,"LOW")</f>
        <v>0</v>
      </c>
      <c r="G6" s="36" t="n">
        <f aca="false">COUNTA('🔴 OT Threats'!A4:A29)</f>
        <v>26</v>
      </c>
    </row>
    <row r="7" customFormat="false" ht="19.5" hidden="false" customHeight="true" outlineLevel="0" collapsed="false">
      <c r="B7" s="37" t="s">
        <v>88</v>
      </c>
      <c r="C7" s="38" t="n">
        <f aca="false">COUNTIFS('🔴 OT Threats'!I4:I29,"CRITICAL",'🔴 OT Threats'!M4:M29,"YES")</f>
        <v>0</v>
      </c>
      <c r="D7" s="38" t="n">
        <f aca="false">COUNTIFS('🔴 OT Threats'!I4:I29,"HIGH",'🔴 OT Threats'!M4:M29,"YES")</f>
        <v>0</v>
      </c>
      <c r="E7" s="38" t="n">
        <f aca="false">COUNTIFS('🔴 OT Threats'!I4:I29,"MEDIUM",'🔴 OT Threats'!M4:M29,"YES")</f>
        <v>0</v>
      </c>
      <c r="F7" s="38" t="n">
        <f aca="false">COUNTIFS('🔴 OT Threats'!I4:I29,"LOW",'🔴 OT Threats'!M4:M29,"YES")</f>
        <v>0</v>
      </c>
      <c r="G7" s="38" t="n">
        <f aca="false">COUNTIF('🔴 OT Threats'!M4:M29,"YES")</f>
        <v>0</v>
      </c>
    </row>
    <row r="8" customFormat="false" ht="19.5" hidden="false" customHeight="true" outlineLevel="0" collapsed="false">
      <c r="B8" s="35" t="s">
        <v>89</v>
      </c>
      <c r="C8" s="36" t="n">
        <f aca="false">COUNTIFS('🔴 OT Threats'!I4:I29,"CRITICAL",'🔴 OT Threats'!L4:L29,"Implemented")</f>
        <v>0</v>
      </c>
      <c r="D8" s="36" t="n">
        <f aca="false">COUNTIFS('🔴 OT Threats'!I4:I29,"HIGH",'🔴 OT Threats'!L4:L29,"Implemented")</f>
        <v>0</v>
      </c>
      <c r="E8" s="36" t="n">
        <f aca="false">COUNTIFS('🔴 OT Threats'!I4:I29,"MEDIUM",'🔴 OT Threats'!L4:L29,"Implemented")</f>
        <v>0</v>
      </c>
      <c r="F8" s="36" t="n">
        <f aca="false">COUNTIFS('🔴 OT Threats'!I4:I29,"LOW",'🔴 OT Threats'!L4:L29,"Implemented")</f>
        <v>0</v>
      </c>
      <c r="G8" s="36" t="n">
        <f aca="false">COUNTIF('🔴 OT Threats'!L4:L29,"Implemented")</f>
        <v>0</v>
      </c>
    </row>
    <row r="9" customFormat="false" ht="19.5" hidden="false" customHeight="true" outlineLevel="0" collapsed="false">
      <c r="B9" s="37" t="s">
        <v>90</v>
      </c>
      <c r="C9" s="39" t="n">
        <f aca="false">COUNTIFS('🔴 OT Threats'!I4:I29,"CRITICAL",'🔴 OT Threats'!M4:M29,"YES",'🔴 OT Threats'!L4:L29,"None")</f>
        <v>0</v>
      </c>
      <c r="D9" s="40" t="n">
        <f aca="false">COUNTIFS('🔴 OT Threats'!I4:I29,"HIGH",'🔴 OT Threats'!M4:M29,"YES",'🔴 OT Threats'!L4:L29,"None")</f>
        <v>0</v>
      </c>
      <c r="E9" s="41" t="n">
        <f aca="false">COUNTIFS('🔴 OT Threats'!I4:I29,"MEDIUM",'🔴 OT Threats'!M4:M29,"YES",'🔴 OT Threats'!L4:L29,"None")</f>
        <v>0</v>
      </c>
      <c r="F9" s="42" t="n">
        <f aca="false">COUNTIFS('🔴 OT Threats'!I4:I29,"LOW",'🔴 OT Threats'!M4:M29,"YES",'🔴 OT Threats'!L4:L29,"None")</f>
        <v>0</v>
      </c>
      <c r="G9" s="43" t="n">
        <f aca="false">COUNTIFS('🔴 OT Threats'!M4:M29,"YES",'🔴 OT Threats'!L4:L29,"None")</f>
        <v>0</v>
      </c>
    </row>
    <row r="11" customFormat="false" ht="21.75" hidden="false" customHeight="true" outlineLevel="0" collapsed="false">
      <c r="B11" s="44" t="s">
        <v>91</v>
      </c>
      <c r="C11" s="44"/>
      <c r="D11" s="44"/>
      <c r="E11" s="44"/>
      <c r="F11" s="44"/>
      <c r="G11" s="44"/>
    </row>
    <row r="12" customFormat="false" ht="19.5" hidden="false" customHeight="true" outlineLevel="0" collapsed="false">
      <c r="B12" s="34" t="s">
        <v>81</v>
      </c>
      <c r="C12" s="34" t="s">
        <v>82</v>
      </c>
      <c r="D12" s="34" t="s">
        <v>83</v>
      </c>
      <c r="E12" s="34" t="s">
        <v>84</v>
      </c>
      <c r="F12" s="34" t="s">
        <v>85</v>
      </c>
      <c r="G12" s="34" t="s">
        <v>86</v>
      </c>
    </row>
    <row r="13" customFormat="false" ht="19.5" hidden="false" customHeight="true" outlineLevel="0" collapsed="false">
      <c r="B13" s="45" t="s">
        <v>87</v>
      </c>
      <c r="C13" s="46" t="n">
        <f aca="false">COUNTIF('🟢 IT Threats'!I30:I56,"CRITICAL")</f>
        <v>0</v>
      </c>
      <c r="D13" s="46" t="n">
        <f aca="false">COUNTIF('🟢 IT Threats'!I30:I56,"HIGH")</f>
        <v>1</v>
      </c>
      <c r="E13" s="46" t="n">
        <f aca="false">COUNTIF('🟢 IT Threats'!I30:I56,"MEDIUM")</f>
        <v>0</v>
      </c>
      <c r="F13" s="46" t="n">
        <f aca="false">COUNTIF('🟢 IT Threats'!I30:I56,"LOW")</f>
        <v>0</v>
      </c>
      <c r="G13" s="46" t="n">
        <f aca="false">COUNTA('🟢 IT Threats'!A30:A56)</f>
        <v>1</v>
      </c>
    </row>
    <row r="14" customFormat="false" ht="19.5" hidden="false" customHeight="true" outlineLevel="0" collapsed="false">
      <c r="B14" s="37" t="s">
        <v>88</v>
      </c>
      <c r="C14" s="38" t="n">
        <f aca="false">COUNTIFS('🟢 IT Threats'!I30:I56,"CRITICAL",'🟢 IT Threats'!M30:M56,"YES")</f>
        <v>0</v>
      </c>
      <c r="D14" s="38" t="n">
        <f aca="false">COUNTIFS('🟢 IT Threats'!I30:I56,"HIGH",'🟢 IT Threats'!M30:M56,"YES")</f>
        <v>0</v>
      </c>
      <c r="E14" s="38" t="n">
        <f aca="false">COUNTIFS('🟢 IT Threats'!I30:I56,"MEDIUM",'🟢 IT Threats'!M30:M56,"YES")</f>
        <v>0</v>
      </c>
      <c r="F14" s="38" t="n">
        <f aca="false">COUNTIFS('🟢 IT Threats'!I30:I56,"LOW",'🟢 IT Threats'!M30:M56,"YES")</f>
        <v>0</v>
      </c>
      <c r="G14" s="38" t="n">
        <f aca="false">COUNTIF('🟢 IT Threats'!M30:M56,"YES")</f>
        <v>0</v>
      </c>
    </row>
    <row r="15" customFormat="false" ht="19.5" hidden="false" customHeight="true" outlineLevel="0" collapsed="false">
      <c r="B15" s="45" t="s">
        <v>89</v>
      </c>
      <c r="C15" s="46" t="n">
        <f aca="false">COUNTIFS('🟢 IT Threats'!I30:I56,"CRITICAL",'🟢 IT Threats'!L30:L56,"Implemented")</f>
        <v>0</v>
      </c>
      <c r="D15" s="46" t="n">
        <f aca="false">COUNTIFS('🟢 IT Threats'!I30:I56,"HIGH",'🟢 IT Threats'!L30:L56,"Implemented")</f>
        <v>0</v>
      </c>
      <c r="E15" s="46" t="n">
        <f aca="false">COUNTIFS('🟢 IT Threats'!I30:I56,"MEDIUM",'🟢 IT Threats'!L30:L56,"Implemented")</f>
        <v>0</v>
      </c>
      <c r="F15" s="46" t="n">
        <f aca="false">COUNTIFS('🟢 IT Threats'!I30:I56,"LOW",'🟢 IT Threats'!L30:L56,"Implemented")</f>
        <v>0</v>
      </c>
      <c r="G15" s="46" t="n">
        <f aca="false">COUNTIF('🟢 IT Threats'!L30:L56,"Implemented")</f>
        <v>0</v>
      </c>
    </row>
    <row r="16" customFormat="false" ht="19.5" hidden="false" customHeight="true" outlineLevel="0" collapsed="false">
      <c r="B16" s="37" t="s">
        <v>90</v>
      </c>
      <c r="C16" s="39" t="n">
        <f aca="false">COUNTIFS('🟢 IT Threats'!I30:I56,"CRITICAL",'🟢 IT Threats'!M30:M56,"YES",'🟢 IT Threats'!L30:L56,"None")</f>
        <v>0</v>
      </c>
      <c r="D16" s="40" t="n">
        <f aca="false">COUNTIFS('🟢 IT Threats'!I30:I56,"HIGH",'🟢 IT Threats'!M30:M56,"YES",'🟢 IT Threats'!L30:L56,"None")</f>
        <v>0</v>
      </c>
      <c r="E16" s="41" t="n">
        <f aca="false">COUNTIFS('🟢 IT Threats'!I30:I56,"MEDIUM",'🟢 IT Threats'!M30:M56,"YES",'🟢 IT Threats'!L30:L56,"None")</f>
        <v>0</v>
      </c>
      <c r="F16" s="42" t="n">
        <f aca="false">COUNTIFS('🟢 IT Threats'!I30:I56,"LOW",'🟢 IT Threats'!M30:M56,"YES",'🟢 IT Threats'!L30:L56,"None")</f>
        <v>0</v>
      </c>
      <c r="G16" s="43" t="n">
        <f aca="false">COUNTIFS('🟢 IT Threats'!M30:M56,"YES",'🟢 IT Threats'!L30:L56,"None")</f>
        <v>0</v>
      </c>
    </row>
    <row r="18" customFormat="false" ht="21.75" hidden="false" customHeight="true" outlineLevel="0" collapsed="false">
      <c r="B18" s="47" t="s">
        <v>92</v>
      </c>
      <c r="C18" s="47"/>
      <c r="D18" s="47"/>
      <c r="E18" s="47"/>
      <c r="F18" s="47"/>
      <c r="G18" s="47"/>
    </row>
    <row r="19" customFormat="false" ht="19.5" hidden="false" customHeight="true" outlineLevel="0" collapsed="false">
      <c r="B19" s="34" t="s">
        <v>81</v>
      </c>
      <c r="C19" s="34" t="s">
        <v>82</v>
      </c>
      <c r="D19" s="34" t="s">
        <v>83</v>
      </c>
      <c r="E19" s="34" t="s">
        <v>84</v>
      </c>
      <c r="F19" s="34" t="s">
        <v>85</v>
      </c>
      <c r="G19" s="34" t="s">
        <v>86</v>
      </c>
    </row>
    <row r="20" customFormat="false" ht="19.5" hidden="false" customHeight="true" outlineLevel="0" collapsed="false">
      <c r="B20" s="48" t="s">
        <v>87</v>
      </c>
      <c r="C20" s="49" t="n">
        <f aca="false">COUNTIF('🔵 Shared Threats'!I31:I41,"CRITICAL")</f>
        <v>0</v>
      </c>
      <c r="D20" s="49" t="n">
        <f aca="false">COUNTIF('🔵 Shared Threats'!I31:I41,"HIGH")</f>
        <v>0</v>
      </c>
      <c r="E20" s="49" t="n">
        <f aca="false">COUNTIF('🔵 Shared Threats'!I31:I41,"MEDIUM")</f>
        <v>0</v>
      </c>
      <c r="F20" s="49" t="n">
        <f aca="false">COUNTIF('🔵 Shared Threats'!I31:I41,"LOW")</f>
        <v>0</v>
      </c>
      <c r="G20" s="49" t="n">
        <f aca="false">COUNTA('🔵 Shared Threats'!A31:A41)</f>
        <v>0</v>
      </c>
    </row>
    <row r="21" customFormat="false" ht="19.5" hidden="false" customHeight="true" outlineLevel="0" collapsed="false">
      <c r="B21" s="37" t="s">
        <v>88</v>
      </c>
      <c r="C21" s="38" t="n">
        <f aca="false">COUNTIFS('🔵 Shared Threats'!I31:I41,"CRITICAL",'🔵 Shared Threats'!M31:M41,"YES")</f>
        <v>0</v>
      </c>
      <c r="D21" s="38" t="n">
        <f aca="false">COUNTIFS('🔵 Shared Threats'!I31:I41,"HIGH",'🔵 Shared Threats'!M31:M41,"YES")</f>
        <v>0</v>
      </c>
      <c r="E21" s="38" t="n">
        <f aca="false">COUNTIFS('🔵 Shared Threats'!I31:I41,"MEDIUM",'🔵 Shared Threats'!M31:M41,"YES")</f>
        <v>0</v>
      </c>
      <c r="F21" s="38" t="n">
        <f aca="false">COUNTIFS('🔵 Shared Threats'!I31:I41,"LOW",'🔵 Shared Threats'!M31:M41,"YES")</f>
        <v>0</v>
      </c>
      <c r="G21" s="38" t="n">
        <f aca="false">COUNTIF('🔵 Shared Threats'!M31:M41,"YES")</f>
        <v>0</v>
      </c>
    </row>
    <row r="22" customFormat="false" ht="19.5" hidden="false" customHeight="true" outlineLevel="0" collapsed="false">
      <c r="B22" s="48" t="s">
        <v>89</v>
      </c>
      <c r="C22" s="49" t="n">
        <f aca="false">COUNTIFS('🔵 Shared Threats'!I31:I41,"CRITICAL",'🔵 Shared Threats'!L31:L41,"Implemented")</f>
        <v>0</v>
      </c>
      <c r="D22" s="49" t="n">
        <f aca="false">COUNTIFS('🔵 Shared Threats'!I31:I41,"HIGH",'🔵 Shared Threats'!L31:L41,"Implemented")</f>
        <v>0</v>
      </c>
      <c r="E22" s="49" t="n">
        <f aca="false">COUNTIFS('🔵 Shared Threats'!I31:I41,"MEDIUM",'🔵 Shared Threats'!L31:L41,"Implemented")</f>
        <v>0</v>
      </c>
      <c r="F22" s="49" t="n">
        <f aca="false">COUNTIFS('🔵 Shared Threats'!I31:I41,"LOW",'🔵 Shared Threats'!L31:L41,"Implemented")</f>
        <v>0</v>
      </c>
      <c r="G22" s="49" t="n">
        <f aca="false">COUNTIF('🔵 Shared Threats'!L31:L41,"Implemented")</f>
        <v>0</v>
      </c>
    </row>
    <row r="23" customFormat="false" ht="19.5" hidden="false" customHeight="true" outlineLevel="0" collapsed="false">
      <c r="B23" s="37" t="s">
        <v>90</v>
      </c>
      <c r="C23" s="39" t="n">
        <f aca="false">COUNTIFS('🔵 Shared Threats'!I31:I41,"CRITICAL",'🔵 Shared Threats'!M31:M41,"YES",'🔵 Shared Threats'!L31:L41,"None")</f>
        <v>0</v>
      </c>
      <c r="D23" s="40" t="n">
        <f aca="false">COUNTIFS('🔵 Shared Threats'!I31:I41,"HIGH",'🔵 Shared Threats'!M31:M41,"YES",'🔵 Shared Threats'!L31:L41,"None")</f>
        <v>0</v>
      </c>
      <c r="E23" s="41" t="n">
        <f aca="false">COUNTIFS('🔵 Shared Threats'!I31:I41,"MEDIUM",'🔵 Shared Threats'!M31:M41,"YES",'🔵 Shared Threats'!L31:L41,"None")</f>
        <v>0</v>
      </c>
      <c r="F23" s="42" t="n">
        <f aca="false">COUNTIFS('🔵 Shared Threats'!I31:I41,"LOW",'🔵 Shared Threats'!M31:M41,"YES",'🔵 Shared Threats'!L31:L41,"None")</f>
        <v>0</v>
      </c>
      <c r="G23" s="43" t="n">
        <f aca="false">COUNTIFS('🔵 Shared Threats'!M31:M41,"YES",'🔵 Shared Threats'!L31:L41,"None")</f>
        <v>0</v>
      </c>
    </row>
    <row r="25" customFormat="false" ht="21.75" hidden="false" customHeight="true" outlineLevel="0" collapsed="false">
      <c r="B25" s="3" t="s">
        <v>93</v>
      </c>
      <c r="C25" s="3"/>
      <c r="D25" s="3"/>
      <c r="E25" s="3"/>
      <c r="F25" s="3"/>
      <c r="G25" s="3"/>
    </row>
    <row r="26" customFormat="false" ht="19.5" hidden="false" customHeight="true" outlineLevel="0" collapsed="false">
      <c r="B26" s="34" t="s">
        <v>2</v>
      </c>
      <c r="C26" s="34" t="s">
        <v>94</v>
      </c>
      <c r="D26" s="34" t="s">
        <v>95</v>
      </c>
      <c r="E26" s="34" t="s">
        <v>96</v>
      </c>
      <c r="F26" s="34" t="s">
        <v>97</v>
      </c>
      <c r="G26" s="34"/>
    </row>
    <row r="27" customFormat="false" ht="19.5" hidden="false" customHeight="true" outlineLevel="0" collapsed="false">
      <c r="B27" s="50" t="s">
        <v>6</v>
      </c>
      <c r="C27" s="51" t="n">
        <f aca="false">COUNTIF('🔴 OT Threats'!B4:B29,"Spoofing")</f>
        <v>5</v>
      </c>
      <c r="D27" s="51" t="n">
        <f aca="false">COUNTIF('🟢 IT Threats'!B4:B30,"Spoofing")</f>
        <v>5</v>
      </c>
      <c r="E27" s="51" t="n">
        <f aca="false">COUNTIF('🔵 Shared Threats'!B4:B14,"Spoofing")</f>
        <v>2</v>
      </c>
      <c r="F27" s="52" t="n">
        <f aca="false">SUM(C27:E27)</f>
        <v>12</v>
      </c>
      <c r="G27" s="53"/>
    </row>
    <row r="28" customFormat="false" ht="19.5" hidden="false" customHeight="true" outlineLevel="0" collapsed="false">
      <c r="B28" s="54" t="s">
        <v>10</v>
      </c>
      <c r="C28" s="55" t="n">
        <f aca="false">COUNTIF('🔴 OT Threats'!B4:B29,"Tampering")</f>
        <v>5</v>
      </c>
      <c r="D28" s="55" t="n">
        <f aca="false">COUNTIF('🟢 IT Threats'!B4:B30,"Tampering")</f>
        <v>5</v>
      </c>
      <c r="E28" s="55" t="n">
        <f aca="false">COUNTIF('🔵 Shared Threats'!B4:B14,"Tampering")</f>
        <v>2</v>
      </c>
      <c r="F28" s="56" t="n">
        <f aca="false">SUM(C28:E28)</f>
        <v>12</v>
      </c>
      <c r="G28" s="53"/>
    </row>
    <row r="29" customFormat="false" ht="19.5" hidden="false" customHeight="true" outlineLevel="0" collapsed="false">
      <c r="B29" s="57" t="s">
        <v>14</v>
      </c>
      <c r="C29" s="51" t="n">
        <f aca="false">COUNTIF('🔴 OT Threats'!B4:B29,"Repudiation")</f>
        <v>3</v>
      </c>
      <c r="D29" s="51" t="n">
        <f aca="false">COUNTIF('🟢 IT Threats'!B4:B30,"Repudiation")</f>
        <v>3</v>
      </c>
      <c r="E29" s="51" t="n">
        <f aca="false">COUNTIF('🔵 Shared Threats'!B4:B14,"Repudiation")</f>
        <v>1</v>
      </c>
      <c r="F29" s="58" t="n">
        <f aca="false">SUM(C29:E29)</f>
        <v>7</v>
      </c>
      <c r="G29" s="53"/>
    </row>
    <row r="30" customFormat="false" ht="19.5" hidden="false" customHeight="true" outlineLevel="0" collapsed="false">
      <c r="B30" s="59" t="s">
        <v>18</v>
      </c>
      <c r="C30" s="55" t="n">
        <f aca="false">COUNTIF('🔴 OT Threats'!B4:B29,"Information Disclosure")</f>
        <v>4</v>
      </c>
      <c r="D30" s="55" t="n">
        <f aca="false">COUNTIF('🟢 IT Threats'!B4:B30,"Information Disclosure")</f>
        <v>5</v>
      </c>
      <c r="E30" s="55" t="n">
        <f aca="false">COUNTIF('🔵 Shared Threats'!B4:B14,"Information Disclosure")</f>
        <v>2</v>
      </c>
      <c r="F30" s="60" t="n">
        <f aca="false">SUM(C30:E30)</f>
        <v>11</v>
      </c>
      <c r="G30" s="53"/>
    </row>
    <row r="31" customFormat="false" ht="19.5" hidden="false" customHeight="true" outlineLevel="0" collapsed="false">
      <c r="B31" s="61" t="s">
        <v>22</v>
      </c>
      <c r="C31" s="51" t="n">
        <f aca="false">COUNTIF('🔴 OT Threats'!B4:B29,"Denial of Service")</f>
        <v>5</v>
      </c>
      <c r="D31" s="51" t="n">
        <f aca="false">COUNTIF('🟢 IT Threats'!B4:B30,"Denial of Service")</f>
        <v>4</v>
      </c>
      <c r="E31" s="51" t="n">
        <f aca="false">COUNTIF('🔵 Shared Threats'!B4:B14,"Denial of Service")</f>
        <v>2</v>
      </c>
      <c r="F31" s="62" t="n">
        <f aca="false">SUM(C31:E31)</f>
        <v>11</v>
      </c>
      <c r="G31" s="53"/>
    </row>
    <row r="32" customFormat="false" ht="19.5" hidden="false" customHeight="true" outlineLevel="0" collapsed="false">
      <c r="B32" s="63" t="s">
        <v>26</v>
      </c>
      <c r="C32" s="55" t="n">
        <f aca="false">COUNTIF('🔴 OT Threats'!B4:B29,"Elevation of Privilege")</f>
        <v>4</v>
      </c>
      <c r="D32" s="55" t="n">
        <f aca="false">COUNTIF('🟢 IT Threats'!B4:B30,"Elevation of Privilege")</f>
        <v>5</v>
      </c>
      <c r="E32" s="55" t="n">
        <f aca="false">COUNTIF('🔵 Shared Threats'!B4:B14,"Elevation of Privilege")</f>
        <v>2</v>
      </c>
      <c r="F32" s="64" t="n">
        <f aca="false">SUM(C32:E32)</f>
        <v>11</v>
      </c>
      <c r="G32" s="53"/>
    </row>
    <row r="34" customFormat="false" ht="36" hidden="false" customHeight="true" outlineLevel="0" collapsed="false">
      <c r="B34" s="65" t="s">
        <v>98</v>
      </c>
      <c r="C34" s="65"/>
      <c r="D34" s="65"/>
      <c r="E34" s="65"/>
      <c r="F34" s="65"/>
      <c r="G34" s="65"/>
    </row>
  </sheetData>
  <mergeCells count="6">
    <mergeCell ref="B2:G2"/>
    <mergeCell ref="B4:G4"/>
    <mergeCell ref="B11:G11"/>
    <mergeCell ref="B18:G18"/>
    <mergeCell ref="B25:G25"/>
    <mergeCell ref="B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58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5" min="15" style="0" width="38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66" t="s">
        <v>99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3" customFormat="false" ht="42" hidden="false" customHeight="true" outlineLevel="0" collapsed="false">
      <c r="A3" s="67" t="s">
        <v>50</v>
      </c>
      <c r="B3" s="67" t="s">
        <v>100</v>
      </c>
      <c r="C3" s="67" t="s">
        <v>53</v>
      </c>
      <c r="D3" s="67" t="s">
        <v>55</v>
      </c>
      <c r="E3" s="67" t="s">
        <v>57</v>
      </c>
      <c r="F3" s="67" t="s">
        <v>101</v>
      </c>
      <c r="G3" s="67" t="s">
        <v>102</v>
      </c>
      <c r="H3" s="67" t="s">
        <v>103</v>
      </c>
      <c r="I3" s="67" t="s">
        <v>65</v>
      </c>
      <c r="J3" s="67" t="s">
        <v>67</v>
      </c>
      <c r="K3" s="67" t="s">
        <v>69</v>
      </c>
      <c r="L3" s="67" t="s">
        <v>71</v>
      </c>
      <c r="M3" s="67" t="s">
        <v>104</v>
      </c>
      <c r="N3" s="67" t="s">
        <v>105</v>
      </c>
      <c r="O3" s="67" t="s">
        <v>77</v>
      </c>
    </row>
    <row r="4" customFormat="false" ht="51.75" hidden="false" customHeight="true" outlineLevel="0" collapsed="false">
      <c r="A4" s="68" t="s">
        <v>106</v>
      </c>
      <c r="B4" s="69" t="s">
        <v>6</v>
      </c>
      <c r="C4" s="70" t="s">
        <v>107</v>
      </c>
      <c r="D4" s="70" t="s">
        <v>108</v>
      </c>
      <c r="E4" s="70" t="s">
        <v>109</v>
      </c>
      <c r="F4" s="71" t="n">
        <v>4</v>
      </c>
      <c r="G4" s="71" t="n">
        <v>5</v>
      </c>
      <c r="H4" s="72" t="n">
        <v>20</v>
      </c>
      <c r="I4" s="73" t="s">
        <v>82</v>
      </c>
      <c r="J4" s="70" t="s">
        <v>110</v>
      </c>
      <c r="K4" s="70" t="s">
        <v>111</v>
      </c>
      <c r="L4" s="74" t="s">
        <v>112</v>
      </c>
      <c r="M4" s="74" t="s">
        <v>113</v>
      </c>
      <c r="N4" s="75" t="str">
        <f aca="false">IF(M4="YES",IF(L4="Implemented","✅ Triggered+Mitigated",IF(L4="Partial","⚠️ Partial Controls","❌ Unmitigated")),"— Not Triggered")</f>
        <v>— Not Triggered</v>
      </c>
      <c r="O4" s="70" t="s">
        <v>114</v>
      </c>
    </row>
    <row r="5" customFormat="false" ht="51.75" hidden="false" customHeight="true" outlineLevel="0" collapsed="false">
      <c r="A5" s="76" t="s">
        <v>115</v>
      </c>
      <c r="B5" s="69" t="s">
        <v>6</v>
      </c>
      <c r="C5" s="77" t="s">
        <v>116</v>
      </c>
      <c r="D5" s="77" t="s">
        <v>117</v>
      </c>
      <c r="E5" s="77" t="s">
        <v>118</v>
      </c>
      <c r="F5" s="78" t="n">
        <v>5</v>
      </c>
      <c r="G5" s="78" t="n">
        <v>5</v>
      </c>
      <c r="H5" s="72" t="n">
        <v>25</v>
      </c>
      <c r="I5" s="73" t="s">
        <v>82</v>
      </c>
      <c r="J5" s="77" t="s">
        <v>119</v>
      </c>
      <c r="K5" s="77" t="s">
        <v>120</v>
      </c>
      <c r="L5" s="74" t="s">
        <v>112</v>
      </c>
      <c r="M5" s="74" t="s">
        <v>113</v>
      </c>
      <c r="N5" s="75" t="str">
        <f aca="false">IF(M5="YES",IF(L5="Implemented","✅ Triggered+Mitigated",IF(L5="Partial","⚠️ Partial Controls","❌ Unmitigated")),"— Not Triggered")</f>
        <v>— Not Triggered</v>
      </c>
      <c r="O5" s="77" t="s">
        <v>121</v>
      </c>
    </row>
    <row r="6" customFormat="false" ht="51.75" hidden="false" customHeight="true" outlineLevel="0" collapsed="false">
      <c r="A6" s="68" t="s">
        <v>122</v>
      </c>
      <c r="B6" s="69" t="s">
        <v>6</v>
      </c>
      <c r="C6" s="70" t="s">
        <v>123</v>
      </c>
      <c r="D6" s="70" t="s">
        <v>124</v>
      </c>
      <c r="E6" s="70" t="s">
        <v>125</v>
      </c>
      <c r="F6" s="71" t="n">
        <v>3</v>
      </c>
      <c r="G6" s="71" t="n">
        <v>4</v>
      </c>
      <c r="H6" s="79" t="n">
        <v>12</v>
      </c>
      <c r="I6" s="80" t="s">
        <v>83</v>
      </c>
      <c r="J6" s="70" t="s">
        <v>126</v>
      </c>
      <c r="K6" s="70" t="s">
        <v>127</v>
      </c>
      <c r="L6" s="74" t="s">
        <v>112</v>
      </c>
      <c r="M6" s="74" t="s">
        <v>113</v>
      </c>
      <c r="N6" s="75" t="str">
        <f aca="false">IF(M6="YES",IF(L6="Implemented","✅ Triggered+Mitigated",IF(L6="Partial","⚠️ Partial Controls","❌ Unmitigated")),"— Not Triggered")</f>
        <v>— Not Triggered</v>
      </c>
      <c r="O6" s="70" t="s">
        <v>128</v>
      </c>
    </row>
    <row r="7" customFormat="false" ht="51.75" hidden="false" customHeight="true" outlineLevel="0" collapsed="false">
      <c r="A7" s="76" t="s">
        <v>129</v>
      </c>
      <c r="B7" s="69" t="s">
        <v>6</v>
      </c>
      <c r="C7" s="77" t="s">
        <v>130</v>
      </c>
      <c r="D7" s="77" t="s">
        <v>131</v>
      </c>
      <c r="E7" s="77" t="s">
        <v>132</v>
      </c>
      <c r="F7" s="78" t="n">
        <v>3</v>
      </c>
      <c r="G7" s="78" t="n">
        <v>5</v>
      </c>
      <c r="H7" s="79" t="n">
        <v>15</v>
      </c>
      <c r="I7" s="80" t="s">
        <v>83</v>
      </c>
      <c r="J7" s="77" t="s">
        <v>133</v>
      </c>
      <c r="K7" s="77" t="s">
        <v>134</v>
      </c>
      <c r="L7" s="74" t="s">
        <v>112</v>
      </c>
      <c r="M7" s="74" t="s">
        <v>113</v>
      </c>
      <c r="N7" s="75" t="str">
        <f aca="false">IF(M7="YES",IF(L7="Implemented","✅ Triggered+Mitigated",IF(L7="Partial","⚠️ Partial Controls","❌ Unmitigated")),"— Not Triggered")</f>
        <v>— Not Triggered</v>
      </c>
      <c r="O7" s="77" t="s">
        <v>135</v>
      </c>
    </row>
    <row r="8" customFormat="false" ht="51.75" hidden="false" customHeight="true" outlineLevel="0" collapsed="false">
      <c r="A8" s="68" t="s">
        <v>136</v>
      </c>
      <c r="B8" s="69" t="s">
        <v>6</v>
      </c>
      <c r="C8" s="70" t="s">
        <v>137</v>
      </c>
      <c r="D8" s="70" t="s">
        <v>138</v>
      </c>
      <c r="E8" s="70" t="s">
        <v>139</v>
      </c>
      <c r="F8" s="71" t="n">
        <v>4</v>
      </c>
      <c r="G8" s="71" t="n">
        <v>5</v>
      </c>
      <c r="H8" s="72" t="n">
        <v>20</v>
      </c>
      <c r="I8" s="73" t="s">
        <v>82</v>
      </c>
      <c r="J8" s="70" t="s">
        <v>140</v>
      </c>
      <c r="K8" s="70" t="s">
        <v>141</v>
      </c>
      <c r="L8" s="74" t="s">
        <v>112</v>
      </c>
      <c r="M8" s="74" t="s">
        <v>113</v>
      </c>
      <c r="N8" s="75" t="str">
        <f aca="false">IF(M8="YES",IF(L8="Implemented","✅ Triggered+Mitigated",IF(L8="Partial","⚠️ Partial Controls","❌ Unmitigated")),"— Not Triggered")</f>
        <v>— Not Triggered</v>
      </c>
      <c r="O8" s="70" t="s">
        <v>142</v>
      </c>
    </row>
    <row r="9" customFormat="false" ht="51.75" hidden="false" customHeight="true" outlineLevel="0" collapsed="false">
      <c r="A9" s="76" t="s">
        <v>143</v>
      </c>
      <c r="B9" s="81" t="s">
        <v>10</v>
      </c>
      <c r="C9" s="77" t="s">
        <v>144</v>
      </c>
      <c r="D9" s="77" t="s">
        <v>145</v>
      </c>
      <c r="E9" s="77" t="s">
        <v>146</v>
      </c>
      <c r="F9" s="78" t="n">
        <v>3</v>
      </c>
      <c r="G9" s="78" t="n">
        <v>5</v>
      </c>
      <c r="H9" s="79" t="n">
        <v>15</v>
      </c>
      <c r="I9" s="80" t="s">
        <v>83</v>
      </c>
      <c r="J9" s="77" t="s">
        <v>147</v>
      </c>
      <c r="K9" s="77" t="s">
        <v>148</v>
      </c>
      <c r="L9" s="74" t="s">
        <v>112</v>
      </c>
      <c r="M9" s="74" t="s">
        <v>113</v>
      </c>
      <c r="N9" s="75" t="str">
        <f aca="false">IF(M9="YES",IF(L9="Implemented","✅ Triggered+Mitigated",IF(L9="Partial","⚠️ Partial Controls","❌ Unmitigated")),"— Not Triggered")</f>
        <v>— Not Triggered</v>
      </c>
      <c r="O9" s="77" t="s">
        <v>149</v>
      </c>
    </row>
    <row r="10" customFormat="false" ht="51.75" hidden="false" customHeight="true" outlineLevel="0" collapsed="false">
      <c r="A10" s="68" t="s">
        <v>150</v>
      </c>
      <c r="B10" s="81" t="s">
        <v>10</v>
      </c>
      <c r="C10" s="70" t="s">
        <v>151</v>
      </c>
      <c r="D10" s="70" t="s">
        <v>152</v>
      </c>
      <c r="E10" s="70" t="s">
        <v>153</v>
      </c>
      <c r="F10" s="71" t="n">
        <v>3</v>
      </c>
      <c r="G10" s="71" t="n">
        <v>5</v>
      </c>
      <c r="H10" s="79" t="n">
        <v>15</v>
      </c>
      <c r="I10" s="80" t="s">
        <v>83</v>
      </c>
      <c r="J10" s="70" t="s">
        <v>154</v>
      </c>
      <c r="K10" s="70" t="s">
        <v>155</v>
      </c>
      <c r="L10" s="74" t="s">
        <v>112</v>
      </c>
      <c r="M10" s="74" t="s">
        <v>113</v>
      </c>
      <c r="N10" s="75" t="str">
        <f aca="false">IF(M10="YES",IF(L10="Implemented","✅ Triggered+Mitigated",IF(L10="Partial","⚠️ Partial Controls","❌ Unmitigated")),"— Not Triggered")</f>
        <v>— Not Triggered</v>
      </c>
      <c r="O10" s="70" t="s">
        <v>156</v>
      </c>
    </row>
    <row r="11" customFormat="false" ht="51.75" hidden="false" customHeight="true" outlineLevel="0" collapsed="false">
      <c r="A11" s="76" t="s">
        <v>157</v>
      </c>
      <c r="B11" s="81" t="s">
        <v>10</v>
      </c>
      <c r="C11" s="77" t="s">
        <v>158</v>
      </c>
      <c r="D11" s="77" t="s">
        <v>159</v>
      </c>
      <c r="E11" s="77" t="s">
        <v>160</v>
      </c>
      <c r="F11" s="78" t="n">
        <v>3</v>
      </c>
      <c r="G11" s="78" t="n">
        <v>4</v>
      </c>
      <c r="H11" s="79" t="n">
        <v>12</v>
      </c>
      <c r="I11" s="80" t="s">
        <v>83</v>
      </c>
      <c r="J11" s="77" t="s">
        <v>161</v>
      </c>
      <c r="K11" s="77" t="s">
        <v>162</v>
      </c>
      <c r="L11" s="74" t="s">
        <v>112</v>
      </c>
      <c r="M11" s="74" t="s">
        <v>113</v>
      </c>
      <c r="N11" s="75" t="str">
        <f aca="false">IF(M11="YES",IF(L11="Implemented","✅ Triggered+Mitigated",IF(L11="Partial","⚠️ Partial Controls","❌ Unmitigated")),"— Not Triggered")</f>
        <v>— Not Triggered</v>
      </c>
      <c r="O11" s="77" t="s">
        <v>163</v>
      </c>
    </row>
    <row r="12" customFormat="false" ht="51.75" hidden="false" customHeight="true" outlineLevel="0" collapsed="false">
      <c r="A12" s="68" t="s">
        <v>164</v>
      </c>
      <c r="B12" s="81" t="s">
        <v>10</v>
      </c>
      <c r="C12" s="70" t="s">
        <v>165</v>
      </c>
      <c r="D12" s="70" t="s">
        <v>166</v>
      </c>
      <c r="E12" s="70" t="s">
        <v>167</v>
      </c>
      <c r="F12" s="71" t="n">
        <v>3</v>
      </c>
      <c r="G12" s="71" t="n">
        <v>5</v>
      </c>
      <c r="H12" s="79" t="n">
        <v>15</v>
      </c>
      <c r="I12" s="80" t="s">
        <v>83</v>
      </c>
      <c r="J12" s="70" t="s">
        <v>168</v>
      </c>
      <c r="K12" s="70" t="s">
        <v>169</v>
      </c>
      <c r="L12" s="74" t="s">
        <v>112</v>
      </c>
      <c r="M12" s="74" t="s">
        <v>113</v>
      </c>
      <c r="N12" s="75" t="str">
        <f aca="false">IF(M12="YES",IF(L12="Implemented","✅ Triggered+Mitigated",IF(L12="Partial","⚠️ Partial Controls","❌ Unmitigated")),"— Not Triggered")</f>
        <v>— Not Triggered</v>
      </c>
      <c r="O12" s="70" t="s">
        <v>170</v>
      </c>
    </row>
    <row r="13" customFormat="false" ht="51.75" hidden="false" customHeight="true" outlineLevel="0" collapsed="false">
      <c r="A13" s="76" t="s">
        <v>171</v>
      </c>
      <c r="B13" s="81" t="s">
        <v>10</v>
      </c>
      <c r="C13" s="77" t="s">
        <v>172</v>
      </c>
      <c r="D13" s="77" t="s">
        <v>173</v>
      </c>
      <c r="E13" s="77" t="s">
        <v>174</v>
      </c>
      <c r="F13" s="78" t="n">
        <v>3</v>
      </c>
      <c r="G13" s="78" t="n">
        <v>5</v>
      </c>
      <c r="H13" s="79" t="n">
        <v>15</v>
      </c>
      <c r="I13" s="80" t="s">
        <v>83</v>
      </c>
      <c r="J13" s="77" t="s">
        <v>175</v>
      </c>
      <c r="K13" s="77" t="s">
        <v>176</v>
      </c>
      <c r="L13" s="74" t="s">
        <v>112</v>
      </c>
      <c r="M13" s="74" t="s">
        <v>113</v>
      </c>
      <c r="N13" s="75" t="str">
        <f aca="false">IF(M13="YES",IF(L13="Implemented","✅ Triggered+Mitigated",IF(L13="Partial","⚠️ Partial Controls","❌ Unmitigated")),"— Not Triggered")</f>
        <v>— Not Triggered</v>
      </c>
      <c r="O13" s="77" t="s">
        <v>177</v>
      </c>
    </row>
    <row r="14" customFormat="false" ht="51.75" hidden="false" customHeight="true" outlineLevel="0" collapsed="false">
      <c r="A14" s="68" t="s">
        <v>178</v>
      </c>
      <c r="B14" s="82" t="s">
        <v>14</v>
      </c>
      <c r="C14" s="70" t="s">
        <v>179</v>
      </c>
      <c r="D14" s="70" t="s">
        <v>180</v>
      </c>
      <c r="E14" s="70" t="s">
        <v>125</v>
      </c>
      <c r="F14" s="71" t="n">
        <v>3</v>
      </c>
      <c r="G14" s="71" t="n">
        <v>4</v>
      </c>
      <c r="H14" s="79" t="n">
        <v>12</v>
      </c>
      <c r="I14" s="80" t="s">
        <v>83</v>
      </c>
      <c r="J14" s="70" t="s">
        <v>181</v>
      </c>
      <c r="K14" s="70" t="s">
        <v>182</v>
      </c>
      <c r="L14" s="74" t="s">
        <v>112</v>
      </c>
      <c r="M14" s="74" t="s">
        <v>113</v>
      </c>
      <c r="N14" s="75" t="str">
        <f aca="false">IF(M14="YES",IF(L14="Implemented","✅ Triggered+Mitigated",IF(L14="Partial","⚠️ Partial Controls","❌ Unmitigated")),"— Not Triggered")</f>
        <v>— Not Triggered</v>
      </c>
      <c r="O14" s="70" t="s">
        <v>183</v>
      </c>
    </row>
    <row r="15" customFormat="false" ht="51.75" hidden="false" customHeight="true" outlineLevel="0" collapsed="false">
      <c r="A15" s="76" t="s">
        <v>184</v>
      </c>
      <c r="B15" s="82" t="s">
        <v>14</v>
      </c>
      <c r="C15" s="77" t="s">
        <v>185</v>
      </c>
      <c r="D15" s="77" t="s">
        <v>186</v>
      </c>
      <c r="E15" s="77" t="s">
        <v>187</v>
      </c>
      <c r="F15" s="78" t="n">
        <v>4</v>
      </c>
      <c r="G15" s="78" t="n">
        <v>4</v>
      </c>
      <c r="H15" s="79" t="n">
        <v>16</v>
      </c>
      <c r="I15" s="80" t="s">
        <v>83</v>
      </c>
      <c r="J15" s="77" t="s">
        <v>188</v>
      </c>
      <c r="K15" s="77" t="s">
        <v>189</v>
      </c>
      <c r="L15" s="74" t="s">
        <v>112</v>
      </c>
      <c r="M15" s="74" t="s">
        <v>113</v>
      </c>
      <c r="N15" s="75" t="str">
        <f aca="false">IF(M15="YES",IF(L15="Implemented","✅ Triggered+Mitigated",IF(L15="Partial","⚠️ Partial Controls","❌ Unmitigated")),"— Not Triggered")</f>
        <v>— Not Triggered</v>
      </c>
      <c r="O15" s="77" t="s">
        <v>190</v>
      </c>
    </row>
    <row r="16" customFormat="false" ht="51.75" hidden="false" customHeight="true" outlineLevel="0" collapsed="false">
      <c r="A16" s="68" t="s">
        <v>191</v>
      </c>
      <c r="B16" s="82" t="s">
        <v>14</v>
      </c>
      <c r="C16" s="70" t="s">
        <v>192</v>
      </c>
      <c r="D16" s="70" t="s">
        <v>193</v>
      </c>
      <c r="E16" s="70" t="s">
        <v>194</v>
      </c>
      <c r="F16" s="71" t="n">
        <v>2</v>
      </c>
      <c r="G16" s="71" t="n">
        <v>5</v>
      </c>
      <c r="H16" s="79" t="n">
        <v>10</v>
      </c>
      <c r="I16" s="80" t="s">
        <v>83</v>
      </c>
      <c r="J16" s="70" t="s">
        <v>195</v>
      </c>
      <c r="K16" s="70" t="s">
        <v>196</v>
      </c>
      <c r="L16" s="74" t="s">
        <v>112</v>
      </c>
      <c r="M16" s="74" t="s">
        <v>113</v>
      </c>
      <c r="N16" s="75" t="str">
        <f aca="false">IF(M16="YES",IF(L16="Implemented","✅ Triggered+Mitigated",IF(L16="Partial","⚠️ Partial Controls","❌ Unmitigated")),"— Not Triggered")</f>
        <v>— Not Triggered</v>
      </c>
      <c r="O16" s="70" t="s">
        <v>197</v>
      </c>
    </row>
    <row r="17" customFormat="false" ht="51.75" hidden="false" customHeight="true" outlineLevel="0" collapsed="false">
      <c r="A17" s="76" t="s">
        <v>198</v>
      </c>
      <c r="B17" s="83" t="s">
        <v>18</v>
      </c>
      <c r="C17" s="77" t="s">
        <v>199</v>
      </c>
      <c r="D17" s="77" t="s">
        <v>200</v>
      </c>
      <c r="E17" s="77" t="s">
        <v>201</v>
      </c>
      <c r="F17" s="78" t="n">
        <v>4</v>
      </c>
      <c r="G17" s="78" t="n">
        <v>4</v>
      </c>
      <c r="H17" s="79" t="n">
        <v>16</v>
      </c>
      <c r="I17" s="80" t="s">
        <v>83</v>
      </c>
      <c r="J17" s="77" t="s">
        <v>202</v>
      </c>
      <c r="K17" s="77" t="s">
        <v>203</v>
      </c>
      <c r="L17" s="74" t="s">
        <v>112</v>
      </c>
      <c r="M17" s="74" t="s">
        <v>113</v>
      </c>
      <c r="N17" s="75" t="str">
        <f aca="false">IF(M17="YES",IF(L17="Implemented","✅ Triggered+Mitigated",IF(L17="Partial","⚠️ Partial Controls","❌ Unmitigated")),"— Not Triggered")</f>
        <v>— Not Triggered</v>
      </c>
      <c r="O17" s="77" t="s">
        <v>204</v>
      </c>
    </row>
    <row r="18" customFormat="false" ht="51.75" hidden="false" customHeight="true" outlineLevel="0" collapsed="false">
      <c r="A18" s="68" t="s">
        <v>205</v>
      </c>
      <c r="B18" s="83" t="s">
        <v>18</v>
      </c>
      <c r="C18" s="70" t="s">
        <v>206</v>
      </c>
      <c r="D18" s="70" t="s">
        <v>207</v>
      </c>
      <c r="E18" s="70" t="s">
        <v>208</v>
      </c>
      <c r="F18" s="71" t="n">
        <v>3</v>
      </c>
      <c r="G18" s="71" t="n">
        <v>4</v>
      </c>
      <c r="H18" s="79" t="n">
        <v>12</v>
      </c>
      <c r="I18" s="80" t="s">
        <v>83</v>
      </c>
      <c r="J18" s="70" t="s">
        <v>209</v>
      </c>
      <c r="K18" s="70" t="s">
        <v>210</v>
      </c>
      <c r="L18" s="74" t="s">
        <v>112</v>
      </c>
      <c r="M18" s="74" t="s">
        <v>113</v>
      </c>
      <c r="N18" s="75" t="str">
        <f aca="false">IF(M18="YES",IF(L18="Implemented","✅ Triggered+Mitigated",IF(L18="Partial","⚠️ Partial Controls","❌ Unmitigated")),"— Not Triggered")</f>
        <v>— Not Triggered</v>
      </c>
      <c r="O18" s="70" t="s">
        <v>211</v>
      </c>
    </row>
    <row r="19" customFormat="false" ht="51.75" hidden="false" customHeight="true" outlineLevel="0" collapsed="false">
      <c r="A19" s="76" t="s">
        <v>212</v>
      </c>
      <c r="B19" s="83" t="s">
        <v>18</v>
      </c>
      <c r="C19" s="77" t="s">
        <v>213</v>
      </c>
      <c r="D19" s="77" t="s">
        <v>214</v>
      </c>
      <c r="E19" s="77" t="s">
        <v>215</v>
      </c>
      <c r="F19" s="78" t="n">
        <v>4</v>
      </c>
      <c r="G19" s="78" t="n">
        <v>3</v>
      </c>
      <c r="H19" s="79" t="n">
        <v>12</v>
      </c>
      <c r="I19" s="80" t="s">
        <v>83</v>
      </c>
      <c r="J19" s="77" t="s">
        <v>216</v>
      </c>
      <c r="K19" s="77" t="s">
        <v>217</v>
      </c>
      <c r="L19" s="74" t="s">
        <v>112</v>
      </c>
      <c r="M19" s="74" t="s">
        <v>113</v>
      </c>
      <c r="N19" s="75" t="str">
        <f aca="false">IF(M19="YES",IF(L19="Implemented","✅ Triggered+Mitigated",IF(L19="Partial","⚠️ Partial Controls","❌ Unmitigated")),"— Not Triggered")</f>
        <v>— Not Triggered</v>
      </c>
      <c r="O19" s="77" t="s">
        <v>218</v>
      </c>
    </row>
    <row r="20" customFormat="false" ht="51.75" hidden="false" customHeight="true" outlineLevel="0" collapsed="false">
      <c r="A20" s="68" t="s">
        <v>219</v>
      </c>
      <c r="B20" s="83" t="s">
        <v>18</v>
      </c>
      <c r="C20" s="70" t="s">
        <v>220</v>
      </c>
      <c r="D20" s="70" t="s">
        <v>221</v>
      </c>
      <c r="E20" s="70" t="s">
        <v>222</v>
      </c>
      <c r="F20" s="71" t="n">
        <v>2</v>
      </c>
      <c r="G20" s="71" t="n">
        <v>5</v>
      </c>
      <c r="H20" s="79" t="n">
        <v>10</v>
      </c>
      <c r="I20" s="80" t="s">
        <v>83</v>
      </c>
      <c r="J20" s="70" t="s">
        <v>223</v>
      </c>
      <c r="K20" s="70" t="s">
        <v>224</v>
      </c>
      <c r="L20" s="74" t="s">
        <v>112</v>
      </c>
      <c r="M20" s="74" t="s">
        <v>113</v>
      </c>
      <c r="N20" s="75" t="str">
        <f aca="false">IF(M20="YES",IF(L20="Implemented","✅ Triggered+Mitigated",IF(L20="Partial","⚠️ Partial Controls","❌ Unmitigated")),"— Not Triggered")</f>
        <v>— Not Triggered</v>
      </c>
      <c r="O20" s="70" t="s">
        <v>225</v>
      </c>
    </row>
    <row r="21" customFormat="false" ht="51.75" hidden="false" customHeight="true" outlineLevel="0" collapsed="false">
      <c r="A21" s="76" t="s">
        <v>226</v>
      </c>
      <c r="B21" s="84" t="s">
        <v>22</v>
      </c>
      <c r="C21" s="77" t="s">
        <v>227</v>
      </c>
      <c r="D21" s="77" t="s">
        <v>228</v>
      </c>
      <c r="E21" s="77" t="s">
        <v>229</v>
      </c>
      <c r="F21" s="78" t="n">
        <v>4</v>
      </c>
      <c r="G21" s="78" t="n">
        <v>5</v>
      </c>
      <c r="H21" s="72" t="n">
        <v>20</v>
      </c>
      <c r="I21" s="73" t="s">
        <v>82</v>
      </c>
      <c r="J21" s="77" t="s">
        <v>230</v>
      </c>
      <c r="K21" s="77" t="s">
        <v>231</v>
      </c>
      <c r="L21" s="74" t="s">
        <v>112</v>
      </c>
      <c r="M21" s="74" t="s">
        <v>113</v>
      </c>
      <c r="N21" s="75" t="str">
        <f aca="false">IF(M21="YES",IF(L21="Implemented","✅ Triggered+Mitigated",IF(L21="Partial","⚠️ Partial Controls","❌ Unmitigated")),"— Not Triggered")</f>
        <v>— Not Triggered</v>
      </c>
      <c r="O21" s="77" t="s">
        <v>232</v>
      </c>
    </row>
    <row r="22" customFormat="false" ht="51.75" hidden="false" customHeight="true" outlineLevel="0" collapsed="false">
      <c r="A22" s="68" t="s">
        <v>233</v>
      </c>
      <c r="B22" s="84" t="s">
        <v>22</v>
      </c>
      <c r="C22" s="70" t="s">
        <v>234</v>
      </c>
      <c r="D22" s="70" t="s">
        <v>235</v>
      </c>
      <c r="E22" s="70" t="s">
        <v>236</v>
      </c>
      <c r="F22" s="71" t="n">
        <v>3</v>
      </c>
      <c r="G22" s="71" t="n">
        <v>5</v>
      </c>
      <c r="H22" s="79" t="n">
        <v>15</v>
      </c>
      <c r="I22" s="80" t="s">
        <v>83</v>
      </c>
      <c r="J22" s="70" t="s">
        <v>237</v>
      </c>
      <c r="K22" s="70" t="s">
        <v>238</v>
      </c>
      <c r="L22" s="74" t="s">
        <v>112</v>
      </c>
      <c r="M22" s="74" t="s">
        <v>113</v>
      </c>
      <c r="N22" s="75" t="str">
        <f aca="false">IF(M22="YES",IF(L22="Implemented","✅ Triggered+Mitigated",IF(L22="Partial","⚠️ Partial Controls","❌ Unmitigated")),"— Not Triggered")</f>
        <v>— Not Triggered</v>
      </c>
      <c r="O22" s="70" t="s">
        <v>239</v>
      </c>
    </row>
    <row r="23" customFormat="false" ht="51.75" hidden="false" customHeight="true" outlineLevel="0" collapsed="false">
      <c r="A23" s="76" t="s">
        <v>240</v>
      </c>
      <c r="B23" s="84" t="s">
        <v>22</v>
      </c>
      <c r="C23" s="77" t="s">
        <v>241</v>
      </c>
      <c r="D23" s="77" t="s">
        <v>242</v>
      </c>
      <c r="E23" s="77" t="s">
        <v>243</v>
      </c>
      <c r="F23" s="78" t="n">
        <v>4</v>
      </c>
      <c r="G23" s="78" t="n">
        <v>5</v>
      </c>
      <c r="H23" s="72" t="n">
        <v>20</v>
      </c>
      <c r="I23" s="73" t="s">
        <v>82</v>
      </c>
      <c r="J23" s="77" t="s">
        <v>244</v>
      </c>
      <c r="K23" s="77" t="s">
        <v>245</v>
      </c>
      <c r="L23" s="74" t="s">
        <v>112</v>
      </c>
      <c r="M23" s="74" t="s">
        <v>113</v>
      </c>
      <c r="N23" s="75" t="str">
        <f aca="false">IF(M23="YES",IF(L23="Implemented","✅ Triggered+Mitigated",IF(L23="Partial","⚠️ Partial Controls","❌ Unmitigated")),"— Not Triggered")</f>
        <v>— Not Triggered</v>
      </c>
      <c r="O23" s="77" t="s">
        <v>246</v>
      </c>
    </row>
    <row r="24" customFormat="false" ht="51.75" hidden="false" customHeight="true" outlineLevel="0" collapsed="false">
      <c r="A24" s="68" t="s">
        <v>247</v>
      </c>
      <c r="B24" s="84" t="s">
        <v>22</v>
      </c>
      <c r="C24" s="70" t="s">
        <v>248</v>
      </c>
      <c r="D24" s="70" t="s">
        <v>249</v>
      </c>
      <c r="E24" s="70" t="s">
        <v>222</v>
      </c>
      <c r="F24" s="71" t="n">
        <v>2</v>
      </c>
      <c r="G24" s="71" t="n">
        <v>5</v>
      </c>
      <c r="H24" s="79" t="n">
        <v>10</v>
      </c>
      <c r="I24" s="80" t="s">
        <v>83</v>
      </c>
      <c r="J24" s="70" t="s">
        <v>250</v>
      </c>
      <c r="K24" s="70" t="s">
        <v>251</v>
      </c>
      <c r="L24" s="74" t="s">
        <v>112</v>
      </c>
      <c r="M24" s="74" t="s">
        <v>113</v>
      </c>
      <c r="N24" s="75" t="str">
        <f aca="false">IF(M24="YES",IF(L24="Implemented","✅ Triggered+Mitigated",IF(L24="Partial","⚠️ Partial Controls","❌ Unmitigated")),"— Not Triggered")</f>
        <v>— Not Triggered</v>
      </c>
      <c r="O24" s="70" t="s">
        <v>252</v>
      </c>
    </row>
    <row r="25" customFormat="false" ht="51.75" hidden="false" customHeight="true" outlineLevel="0" collapsed="false">
      <c r="A25" s="76" t="s">
        <v>253</v>
      </c>
      <c r="B25" s="84" t="s">
        <v>22</v>
      </c>
      <c r="C25" s="77" t="s">
        <v>254</v>
      </c>
      <c r="D25" s="77" t="s">
        <v>255</v>
      </c>
      <c r="E25" s="77" t="s">
        <v>256</v>
      </c>
      <c r="F25" s="78" t="n">
        <v>3</v>
      </c>
      <c r="G25" s="78" t="n">
        <v>4</v>
      </c>
      <c r="H25" s="79" t="n">
        <v>12</v>
      </c>
      <c r="I25" s="80" t="s">
        <v>83</v>
      </c>
      <c r="J25" s="77" t="s">
        <v>257</v>
      </c>
      <c r="K25" s="77" t="s">
        <v>134</v>
      </c>
      <c r="L25" s="74" t="s">
        <v>112</v>
      </c>
      <c r="M25" s="74" t="s">
        <v>113</v>
      </c>
      <c r="N25" s="75" t="str">
        <f aca="false">IF(M25="YES",IF(L25="Implemented","✅ Triggered+Mitigated",IF(L25="Partial","⚠️ Partial Controls","❌ Unmitigated")),"— Not Triggered")</f>
        <v>— Not Triggered</v>
      </c>
      <c r="O25" s="77" t="s">
        <v>258</v>
      </c>
    </row>
    <row r="26" customFormat="false" ht="51.75" hidden="false" customHeight="true" outlineLevel="0" collapsed="false">
      <c r="A26" s="68" t="s">
        <v>259</v>
      </c>
      <c r="B26" s="85" t="s">
        <v>26</v>
      </c>
      <c r="C26" s="70" t="s">
        <v>260</v>
      </c>
      <c r="D26" s="70" t="s">
        <v>261</v>
      </c>
      <c r="E26" s="70" t="s">
        <v>262</v>
      </c>
      <c r="F26" s="71" t="n">
        <v>4</v>
      </c>
      <c r="G26" s="71" t="n">
        <v>5</v>
      </c>
      <c r="H26" s="72" t="n">
        <v>20</v>
      </c>
      <c r="I26" s="73" t="s">
        <v>82</v>
      </c>
      <c r="J26" s="70" t="s">
        <v>263</v>
      </c>
      <c r="K26" s="70" t="s">
        <v>264</v>
      </c>
      <c r="L26" s="74" t="s">
        <v>112</v>
      </c>
      <c r="M26" s="74" t="s">
        <v>113</v>
      </c>
      <c r="N26" s="75" t="str">
        <f aca="false">IF(M26="YES",IF(L26="Implemented","✅ Triggered+Mitigated",IF(L26="Partial","⚠️ Partial Controls","❌ Unmitigated")),"— Not Triggered")</f>
        <v>— Not Triggered</v>
      </c>
      <c r="O26" s="70" t="s">
        <v>265</v>
      </c>
    </row>
    <row r="27" customFormat="false" ht="51.75" hidden="false" customHeight="true" outlineLevel="0" collapsed="false">
      <c r="A27" s="76" t="s">
        <v>266</v>
      </c>
      <c r="B27" s="85" t="s">
        <v>26</v>
      </c>
      <c r="C27" s="77" t="s">
        <v>267</v>
      </c>
      <c r="D27" s="77" t="s">
        <v>268</v>
      </c>
      <c r="E27" s="77" t="s">
        <v>208</v>
      </c>
      <c r="F27" s="78" t="n">
        <v>3</v>
      </c>
      <c r="G27" s="78" t="n">
        <v>4</v>
      </c>
      <c r="H27" s="79" t="n">
        <v>12</v>
      </c>
      <c r="I27" s="80" t="s">
        <v>83</v>
      </c>
      <c r="J27" s="77" t="s">
        <v>269</v>
      </c>
      <c r="K27" s="77" t="s">
        <v>270</v>
      </c>
      <c r="L27" s="74" t="s">
        <v>112</v>
      </c>
      <c r="M27" s="74" t="s">
        <v>113</v>
      </c>
      <c r="N27" s="75" t="str">
        <f aca="false">IF(M27="YES",IF(L27="Implemented","✅ Triggered+Mitigated",IF(L27="Partial","⚠️ Partial Controls","❌ Unmitigated")),"— Not Triggered")</f>
        <v>— Not Triggered</v>
      </c>
      <c r="O27" s="77" t="s">
        <v>271</v>
      </c>
    </row>
    <row r="28" customFormat="false" ht="51.75" hidden="false" customHeight="true" outlineLevel="0" collapsed="false">
      <c r="A28" s="68" t="s">
        <v>272</v>
      </c>
      <c r="B28" s="85" t="s">
        <v>26</v>
      </c>
      <c r="C28" s="70" t="s">
        <v>273</v>
      </c>
      <c r="D28" s="70" t="s">
        <v>274</v>
      </c>
      <c r="E28" s="70" t="s">
        <v>275</v>
      </c>
      <c r="F28" s="71" t="n">
        <v>3</v>
      </c>
      <c r="G28" s="71" t="n">
        <v>5</v>
      </c>
      <c r="H28" s="79" t="n">
        <v>15</v>
      </c>
      <c r="I28" s="80" t="s">
        <v>83</v>
      </c>
      <c r="J28" s="70" t="s">
        <v>276</v>
      </c>
      <c r="K28" s="70" t="s">
        <v>277</v>
      </c>
      <c r="L28" s="74" t="s">
        <v>112</v>
      </c>
      <c r="M28" s="74" t="s">
        <v>113</v>
      </c>
      <c r="N28" s="75" t="str">
        <f aca="false">IF(M28="YES",IF(L28="Implemented","✅ Triggered+Mitigated",IF(L28="Partial","⚠️ Partial Controls","❌ Unmitigated")),"— Not Triggered")</f>
        <v>— Not Triggered</v>
      </c>
      <c r="O28" s="70" t="s">
        <v>278</v>
      </c>
    </row>
    <row r="29" customFormat="false" ht="51.75" hidden="false" customHeight="true" outlineLevel="0" collapsed="false">
      <c r="A29" s="76" t="s">
        <v>279</v>
      </c>
      <c r="B29" s="85" t="s">
        <v>26</v>
      </c>
      <c r="C29" s="77" t="s">
        <v>280</v>
      </c>
      <c r="D29" s="77" t="s">
        <v>281</v>
      </c>
      <c r="E29" s="77" t="s">
        <v>282</v>
      </c>
      <c r="F29" s="78" t="n">
        <v>2</v>
      </c>
      <c r="G29" s="78" t="n">
        <v>5</v>
      </c>
      <c r="H29" s="79" t="n">
        <v>10</v>
      </c>
      <c r="I29" s="80" t="s">
        <v>83</v>
      </c>
      <c r="J29" s="77" t="s">
        <v>283</v>
      </c>
      <c r="K29" s="77" t="s">
        <v>284</v>
      </c>
      <c r="L29" s="74" t="s">
        <v>112</v>
      </c>
      <c r="M29" s="74" t="s">
        <v>113</v>
      </c>
      <c r="N29" s="75" t="str">
        <f aca="false">IF(M29="YES",IF(L29="Implemented","✅ Triggered+Mitigated",IF(L29="Partial","⚠️ Partial Controls","❌ Unmitigated")),"— Not Triggered")</f>
        <v>— Not Triggered</v>
      </c>
      <c r="O29" s="77" t="s">
        <v>285</v>
      </c>
    </row>
  </sheetData>
  <mergeCells count="1">
    <mergeCell ref="A2:O2"/>
  </mergeCells>
  <conditionalFormatting sqref="N4">
    <cfRule type="expression" priority="2" aboveAverage="0" equalAverage="0" bottom="0" percent="0" rank="0" text="" dxfId="0">
      <formula>AND(M4="YES",L4="Implemented")</formula>
    </cfRule>
    <cfRule type="expression" priority="3" aboveAverage="0" equalAverage="0" bottom="0" percent="0" rank="0" text="" dxfId="1">
      <formula>AND(M4="YES",L4="Partial")</formula>
    </cfRule>
    <cfRule type="expression" priority="4" aboveAverage="0" equalAverage="0" bottom="0" percent="0" rank="0" text="" dxfId="2">
      <formula>AND(M4="YES",L4="None")</formula>
    </cfRule>
  </conditionalFormatting>
  <conditionalFormatting sqref="N5">
    <cfRule type="expression" priority="5" aboveAverage="0" equalAverage="0" bottom="0" percent="0" rank="0" text="" dxfId="0">
      <formula>AND(M5="YES",L5="Implemented")</formula>
    </cfRule>
    <cfRule type="expression" priority="6" aboveAverage="0" equalAverage="0" bottom="0" percent="0" rank="0" text="" dxfId="1">
      <formula>AND(M5="YES",L5="Partial")</formula>
    </cfRule>
    <cfRule type="expression" priority="7" aboveAverage="0" equalAverage="0" bottom="0" percent="0" rank="0" text="" dxfId="2">
      <formula>AND(M5="YES",L5="None")</formula>
    </cfRule>
  </conditionalFormatting>
  <conditionalFormatting sqref="N6">
    <cfRule type="expression" priority="8" aboveAverage="0" equalAverage="0" bottom="0" percent="0" rank="0" text="" dxfId="0">
      <formula>AND(M6="YES",L6="Implemented")</formula>
    </cfRule>
    <cfRule type="expression" priority="9" aboveAverage="0" equalAverage="0" bottom="0" percent="0" rank="0" text="" dxfId="1">
      <formula>AND(M6="YES",L6="Partial")</formula>
    </cfRule>
    <cfRule type="expression" priority="10" aboveAverage="0" equalAverage="0" bottom="0" percent="0" rank="0" text="" dxfId="2">
      <formula>AND(M6="YES",L6="None")</formula>
    </cfRule>
  </conditionalFormatting>
  <conditionalFormatting sqref="N7">
    <cfRule type="expression" priority="11" aboveAverage="0" equalAverage="0" bottom="0" percent="0" rank="0" text="" dxfId="0">
      <formula>AND(M7="YES",L7="Implemented")</formula>
    </cfRule>
    <cfRule type="expression" priority="12" aboveAverage="0" equalAverage="0" bottom="0" percent="0" rank="0" text="" dxfId="1">
      <formula>AND(M7="YES",L7="Partial")</formula>
    </cfRule>
    <cfRule type="expression" priority="13" aboveAverage="0" equalAverage="0" bottom="0" percent="0" rank="0" text="" dxfId="2">
      <formula>AND(M7="YES",L7="None")</formula>
    </cfRule>
  </conditionalFormatting>
  <conditionalFormatting sqref="N8">
    <cfRule type="expression" priority="14" aboveAverage="0" equalAverage="0" bottom="0" percent="0" rank="0" text="" dxfId="0">
      <formula>AND(M8="YES",L8="Implemented")</formula>
    </cfRule>
    <cfRule type="expression" priority="15" aboveAverage="0" equalAverage="0" bottom="0" percent="0" rank="0" text="" dxfId="1">
      <formula>AND(M8="YES",L8="Partial")</formula>
    </cfRule>
    <cfRule type="expression" priority="16" aboveAverage="0" equalAverage="0" bottom="0" percent="0" rank="0" text="" dxfId="2">
      <formula>AND(M8="YES",L8="None")</formula>
    </cfRule>
  </conditionalFormatting>
  <conditionalFormatting sqref="N9">
    <cfRule type="expression" priority="17" aboveAverage="0" equalAverage="0" bottom="0" percent="0" rank="0" text="" dxfId="0">
      <formula>AND(M9="YES",L9="Implemented")</formula>
    </cfRule>
    <cfRule type="expression" priority="18" aboveAverage="0" equalAverage="0" bottom="0" percent="0" rank="0" text="" dxfId="1">
      <formula>AND(M9="YES",L9="Partial")</formula>
    </cfRule>
    <cfRule type="expression" priority="19" aboveAverage="0" equalAverage="0" bottom="0" percent="0" rank="0" text="" dxfId="2">
      <formula>AND(M9="YES",L9="None")</formula>
    </cfRule>
  </conditionalFormatting>
  <conditionalFormatting sqref="N10">
    <cfRule type="expression" priority="20" aboveAverage="0" equalAverage="0" bottom="0" percent="0" rank="0" text="" dxfId="0">
      <formula>AND(M10="YES",L10="Implemented")</formula>
    </cfRule>
    <cfRule type="expression" priority="21" aboveAverage="0" equalAverage="0" bottom="0" percent="0" rank="0" text="" dxfId="1">
      <formula>AND(M10="YES",L10="Partial")</formula>
    </cfRule>
    <cfRule type="expression" priority="22" aboveAverage="0" equalAverage="0" bottom="0" percent="0" rank="0" text="" dxfId="2">
      <formula>AND(M10="YES",L10="None")</formula>
    </cfRule>
  </conditionalFormatting>
  <conditionalFormatting sqref="N11">
    <cfRule type="expression" priority="23" aboveAverage="0" equalAverage="0" bottom="0" percent="0" rank="0" text="" dxfId="0">
      <formula>AND(M11="YES",L11="Implemented")</formula>
    </cfRule>
    <cfRule type="expression" priority="24" aboveAverage="0" equalAverage="0" bottom="0" percent="0" rank="0" text="" dxfId="1">
      <formula>AND(M11="YES",L11="Partial")</formula>
    </cfRule>
    <cfRule type="expression" priority="25" aboveAverage="0" equalAverage="0" bottom="0" percent="0" rank="0" text="" dxfId="2">
      <formula>AND(M11="YES",L11="None")</formula>
    </cfRule>
  </conditionalFormatting>
  <conditionalFormatting sqref="N12">
    <cfRule type="expression" priority="26" aboveAverage="0" equalAverage="0" bottom="0" percent="0" rank="0" text="" dxfId="0">
      <formula>AND(M12="YES",L12="Implemented")</formula>
    </cfRule>
    <cfRule type="expression" priority="27" aboveAverage="0" equalAverage="0" bottom="0" percent="0" rank="0" text="" dxfId="1">
      <formula>AND(M12="YES",L12="Partial")</formula>
    </cfRule>
    <cfRule type="expression" priority="28" aboveAverage="0" equalAverage="0" bottom="0" percent="0" rank="0" text="" dxfId="2">
      <formula>AND(M12="YES",L12="None")</formula>
    </cfRule>
  </conditionalFormatting>
  <conditionalFormatting sqref="N13">
    <cfRule type="expression" priority="29" aboveAverage="0" equalAverage="0" bottom="0" percent="0" rank="0" text="" dxfId="0">
      <formula>AND(M13="YES",L13="Implemented")</formula>
    </cfRule>
    <cfRule type="expression" priority="30" aboveAverage="0" equalAverage="0" bottom="0" percent="0" rank="0" text="" dxfId="1">
      <formula>AND(M13="YES",L13="Partial")</formula>
    </cfRule>
    <cfRule type="expression" priority="31" aboveAverage="0" equalAverage="0" bottom="0" percent="0" rank="0" text="" dxfId="2">
      <formula>AND(M13="YES",L13="None")</formula>
    </cfRule>
  </conditionalFormatting>
  <conditionalFormatting sqref="N14">
    <cfRule type="expression" priority="32" aboveAverage="0" equalAverage="0" bottom="0" percent="0" rank="0" text="" dxfId="0">
      <formula>AND(M14="YES",L14="Implemented")</formula>
    </cfRule>
    <cfRule type="expression" priority="33" aboveAverage="0" equalAverage="0" bottom="0" percent="0" rank="0" text="" dxfId="1">
      <formula>AND(M14="YES",L14="Partial")</formula>
    </cfRule>
    <cfRule type="expression" priority="34" aboveAverage="0" equalAverage="0" bottom="0" percent="0" rank="0" text="" dxfId="2">
      <formula>AND(M14="YES",L14="None")</formula>
    </cfRule>
  </conditionalFormatting>
  <conditionalFormatting sqref="N15">
    <cfRule type="expression" priority="35" aboveAverage="0" equalAverage="0" bottom="0" percent="0" rank="0" text="" dxfId="0">
      <formula>AND(M15="YES",L15="Implemented")</formula>
    </cfRule>
    <cfRule type="expression" priority="36" aboveAverage="0" equalAverage="0" bottom="0" percent="0" rank="0" text="" dxfId="1">
      <formula>AND(M15="YES",L15="Partial")</formula>
    </cfRule>
    <cfRule type="expression" priority="37" aboveAverage="0" equalAverage="0" bottom="0" percent="0" rank="0" text="" dxfId="2">
      <formula>AND(M15="YES",L15="None")</formula>
    </cfRule>
  </conditionalFormatting>
  <conditionalFormatting sqref="N16">
    <cfRule type="expression" priority="38" aboveAverage="0" equalAverage="0" bottom="0" percent="0" rank="0" text="" dxfId="0">
      <formula>AND(M16="YES",L16="Implemented")</formula>
    </cfRule>
    <cfRule type="expression" priority="39" aboveAverage="0" equalAverage="0" bottom="0" percent="0" rank="0" text="" dxfId="1">
      <formula>AND(M16="YES",L16="Partial")</formula>
    </cfRule>
    <cfRule type="expression" priority="40" aboveAverage="0" equalAverage="0" bottom="0" percent="0" rank="0" text="" dxfId="2">
      <formula>AND(M16="YES",L16="None")</formula>
    </cfRule>
  </conditionalFormatting>
  <conditionalFormatting sqref="N17">
    <cfRule type="expression" priority="41" aboveAverage="0" equalAverage="0" bottom="0" percent="0" rank="0" text="" dxfId="0">
      <formula>AND(M17="YES",L17="Implemented")</formula>
    </cfRule>
    <cfRule type="expression" priority="42" aboveAverage="0" equalAverage="0" bottom="0" percent="0" rank="0" text="" dxfId="1">
      <formula>AND(M17="YES",L17="Partial")</formula>
    </cfRule>
    <cfRule type="expression" priority="43" aboveAverage="0" equalAverage="0" bottom="0" percent="0" rank="0" text="" dxfId="2">
      <formula>AND(M17="YES",L17="None")</formula>
    </cfRule>
  </conditionalFormatting>
  <conditionalFormatting sqref="N18">
    <cfRule type="expression" priority="44" aboveAverage="0" equalAverage="0" bottom="0" percent="0" rank="0" text="" dxfId="0">
      <formula>AND(M18="YES",L18="Implemented")</formula>
    </cfRule>
    <cfRule type="expression" priority="45" aboveAverage="0" equalAverage="0" bottom="0" percent="0" rank="0" text="" dxfId="1">
      <formula>AND(M18="YES",L18="Partial")</formula>
    </cfRule>
    <cfRule type="expression" priority="46" aboveAverage="0" equalAverage="0" bottom="0" percent="0" rank="0" text="" dxfId="2">
      <formula>AND(M18="YES",L18="None")</formula>
    </cfRule>
  </conditionalFormatting>
  <conditionalFormatting sqref="N19">
    <cfRule type="expression" priority="47" aboveAverage="0" equalAverage="0" bottom="0" percent="0" rank="0" text="" dxfId="0">
      <formula>AND(M19="YES",L19="Implemented")</formula>
    </cfRule>
    <cfRule type="expression" priority="48" aboveAverage="0" equalAverage="0" bottom="0" percent="0" rank="0" text="" dxfId="1">
      <formula>AND(M19="YES",L19="Partial")</formula>
    </cfRule>
    <cfRule type="expression" priority="49" aboveAverage="0" equalAverage="0" bottom="0" percent="0" rank="0" text="" dxfId="2">
      <formula>AND(M19="YES",L19="None")</formula>
    </cfRule>
  </conditionalFormatting>
  <conditionalFormatting sqref="N20">
    <cfRule type="expression" priority="50" aboveAverage="0" equalAverage="0" bottom="0" percent="0" rank="0" text="" dxfId="0">
      <formula>AND(M20="YES",L20="Implemented")</formula>
    </cfRule>
    <cfRule type="expression" priority="51" aboveAverage="0" equalAverage="0" bottom="0" percent="0" rank="0" text="" dxfId="1">
      <formula>AND(M20="YES",L20="Partial")</formula>
    </cfRule>
    <cfRule type="expression" priority="52" aboveAverage="0" equalAverage="0" bottom="0" percent="0" rank="0" text="" dxfId="2">
      <formula>AND(M20="YES",L20="None")</formula>
    </cfRule>
  </conditionalFormatting>
  <conditionalFormatting sqref="N21">
    <cfRule type="expression" priority="53" aboveAverage="0" equalAverage="0" bottom="0" percent="0" rank="0" text="" dxfId="0">
      <formula>AND(M21="YES",L21="Implemented")</formula>
    </cfRule>
    <cfRule type="expression" priority="54" aboveAverage="0" equalAverage="0" bottom="0" percent="0" rank="0" text="" dxfId="1">
      <formula>AND(M21="YES",L21="Partial")</formula>
    </cfRule>
    <cfRule type="expression" priority="55" aboveAverage="0" equalAverage="0" bottom="0" percent="0" rank="0" text="" dxfId="2">
      <formula>AND(M21="YES",L21="None")</formula>
    </cfRule>
  </conditionalFormatting>
  <conditionalFormatting sqref="N22">
    <cfRule type="expression" priority="56" aboveAverage="0" equalAverage="0" bottom="0" percent="0" rank="0" text="" dxfId="0">
      <formula>AND(M22="YES",L22="Implemented")</formula>
    </cfRule>
    <cfRule type="expression" priority="57" aboveAverage="0" equalAverage="0" bottom="0" percent="0" rank="0" text="" dxfId="1">
      <formula>AND(M22="YES",L22="Partial")</formula>
    </cfRule>
    <cfRule type="expression" priority="58" aboveAverage="0" equalAverage="0" bottom="0" percent="0" rank="0" text="" dxfId="2">
      <formula>AND(M22="YES",L22="None")</formula>
    </cfRule>
  </conditionalFormatting>
  <conditionalFormatting sqref="N23">
    <cfRule type="expression" priority="59" aboveAverage="0" equalAverage="0" bottom="0" percent="0" rank="0" text="" dxfId="0">
      <formula>AND(M23="YES",L23="Implemented")</formula>
    </cfRule>
    <cfRule type="expression" priority="60" aboveAverage="0" equalAverage="0" bottom="0" percent="0" rank="0" text="" dxfId="1">
      <formula>AND(M23="YES",L23="Partial")</formula>
    </cfRule>
    <cfRule type="expression" priority="61" aboveAverage="0" equalAverage="0" bottom="0" percent="0" rank="0" text="" dxfId="2">
      <formula>AND(M23="YES",L23="None")</formula>
    </cfRule>
  </conditionalFormatting>
  <conditionalFormatting sqref="N24">
    <cfRule type="expression" priority="62" aboveAverage="0" equalAverage="0" bottom="0" percent="0" rank="0" text="" dxfId="0">
      <formula>AND(M24="YES",L24="Implemented")</formula>
    </cfRule>
    <cfRule type="expression" priority="63" aboveAverage="0" equalAverage="0" bottom="0" percent="0" rank="0" text="" dxfId="1">
      <formula>AND(M24="YES",L24="Partial")</formula>
    </cfRule>
    <cfRule type="expression" priority="64" aboveAverage="0" equalAverage="0" bottom="0" percent="0" rank="0" text="" dxfId="2">
      <formula>AND(M24="YES",L24="None")</formula>
    </cfRule>
  </conditionalFormatting>
  <conditionalFormatting sqref="N25">
    <cfRule type="expression" priority="65" aboveAverage="0" equalAverage="0" bottom="0" percent="0" rank="0" text="" dxfId="0">
      <formula>AND(M25="YES",L25="Implemented")</formula>
    </cfRule>
    <cfRule type="expression" priority="66" aboveAverage="0" equalAverage="0" bottom="0" percent="0" rank="0" text="" dxfId="1">
      <formula>AND(M25="YES",L25="Partial")</formula>
    </cfRule>
    <cfRule type="expression" priority="67" aboveAverage="0" equalAverage="0" bottom="0" percent="0" rank="0" text="" dxfId="2">
      <formula>AND(M25="YES",L25="None")</formula>
    </cfRule>
  </conditionalFormatting>
  <conditionalFormatting sqref="N26">
    <cfRule type="expression" priority="68" aboveAverage="0" equalAverage="0" bottom="0" percent="0" rank="0" text="" dxfId="0">
      <formula>AND(M26="YES",L26="Implemented")</formula>
    </cfRule>
    <cfRule type="expression" priority="69" aboveAverage="0" equalAverage="0" bottom="0" percent="0" rank="0" text="" dxfId="1">
      <formula>AND(M26="YES",L26="Partial")</formula>
    </cfRule>
    <cfRule type="expression" priority="70" aboveAverage="0" equalAverage="0" bottom="0" percent="0" rank="0" text="" dxfId="2">
      <formula>AND(M26="YES",L26="None")</formula>
    </cfRule>
  </conditionalFormatting>
  <conditionalFormatting sqref="N27">
    <cfRule type="expression" priority="71" aboveAverage="0" equalAverage="0" bottom="0" percent="0" rank="0" text="" dxfId="0">
      <formula>AND(M27="YES",L27="Implemented")</formula>
    </cfRule>
    <cfRule type="expression" priority="72" aboveAverage="0" equalAverage="0" bottom="0" percent="0" rank="0" text="" dxfId="1">
      <formula>AND(M27="YES",L27="Partial")</formula>
    </cfRule>
    <cfRule type="expression" priority="73" aboveAverage="0" equalAverage="0" bottom="0" percent="0" rank="0" text="" dxfId="2">
      <formula>AND(M27="YES",L27="None")</formula>
    </cfRule>
  </conditionalFormatting>
  <conditionalFormatting sqref="N28">
    <cfRule type="expression" priority="74" aboveAverage="0" equalAverage="0" bottom="0" percent="0" rank="0" text="" dxfId="0">
      <formula>AND(M28="YES",L28="Implemented")</formula>
    </cfRule>
    <cfRule type="expression" priority="75" aboveAverage="0" equalAverage="0" bottom="0" percent="0" rank="0" text="" dxfId="1">
      <formula>AND(M28="YES",L28="Partial")</formula>
    </cfRule>
    <cfRule type="expression" priority="76" aboveAverage="0" equalAverage="0" bottom="0" percent="0" rank="0" text="" dxfId="2">
      <formula>AND(M28="YES",L28="None")</formula>
    </cfRule>
  </conditionalFormatting>
  <conditionalFormatting sqref="N29">
    <cfRule type="expression" priority="77" aboveAverage="0" equalAverage="0" bottom="0" percent="0" rank="0" text="" dxfId="0">
      <formula>AND(M29="YES",L29="Implemented")</formula>
    </cfRule>
    <cfRule type="expression" priority="78" aboveAverage="0" equalAverage="0" bottom="0" percent="0" rank="0" text="" dxfId="1">
      <formula>AND(M29="YES",L29="Partial")</formula>
    </cfRule>
    <cfRule type="expression" priority="79" aboveAverage="0" equalAverage="0" bottom="0" percent="0" rank="0" text="" dxfId="2">
      <formula>AND(M29="YES",L29="None")</formula>
    </cfRule>
  </conditionalFormatting>
  <dataValidations count="2">
    <dataValidation allowBlank="false" errorStyle="stop" operator="between" showDropDown="false" showErrorMessage="false" showInputMessage="false" sqref="L4:L29" type="list">
      <formula1>"None,Partial,Implemented"</formula1>
      <formula2>0</formula2>
    </dataValidation>
    <dataValidation allowBlank="false" errorStyle="stop" operator="between" showDropDown="false" showErrorMessage="false" showInputMessage="false" sqref="M4:M29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58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5" min="15" style="0" width="38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86" t="s">
        <v>286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</row>
    <row r="3" customFormat="false" ht="42" hidden="false" customHeight="true" outlineLevel="0" collapsed="false">
      <c r="A3" s="67" t="s">
        <v>50</v>
      </c>
      <c r="B3" s="67" t="s">
        <v>100</v>
      </c>
      <c r="C3" s="67" t="s">
        <v>53</v>
      </c>
      <c r="D3" s="67" t="s">
        <v>55</v>
      </c>
      <c r="E3" s="67" t="s">
        <v>57</v>
      </c>
      <c r="F3" s="67" t="s">
        <v>101</v>
      </c>
      <c r="G3" s="67" t="s">
        <v>102</v>
      </c>
      <c r="H3" s="67" t="s">
        <v>103</v>
      </c>
      <c r="I3" s="67" t="s">
        <v>65</v>
      </c>
      <c r="J3" s="67" t="s">
        <v>67</v>
      </c>
      <c r="K3" s="67" t="s">
        <v>69</v>
      </c>
      <c r="L3" s="67" t="s">
        <v>71</v>
      </c>
      <c r="M3" s="67" t="s">
        <v>104</v>
      </c>
      <c r="N3" s="67" t="s">
        <v>105</v>
      </c>
      <c r="O3" s="67" t="s">
        <v>77</v>
      </c>
    </row>
    <row r="4" customFormat="false" ht="51.75" hidden="false" customHeight="true" outlineLevel="0" collapsed="false">
      <c r="A4" s="87" t="s">
        <v>287</v>
      </c>
      <c r="B4" s="69" t="s">
        <v>6</v>
      </c>
      <c r="C4" s="88" t="s">
        <v>288</v>
      </c>
      <c r="D4" s="88" t="s">
        <v>289</v>
      </c>
      <c r="E4" s="88" t="s">
        <v>290</v>
      </c>
      <c r="F4" s="89" t="n">
        <v>5</v>
      </c>
      <c r="G4" s="89" t="n">
        <v>4</v>
      </c>
      <c r="H4" s="72" t="n">
        <v>20</v>
      </c>
      <c r="I4" s="73" t="s">
        <v>82</v>
      </c>
      <c r="J4" s="88" t="s">
        <v>291</v>
      </c>
      <c r="K4" s="88" t="s">
        <v>292</v>
      </c>
      <c r="L4" s="74" t="s">
        <v>112</v>
      </c>
      <c r="M4" s="74" t="s">
        <v>113</v>
      </c>
      <c r="N4" s="75" t="str">
        <f aca="false">IF(M4="YES",IF(L4="Implemented","✅ Triggered+Mitigated",IF(L4="Partial","⚠️ Partial Controls","❌ Unmitigated")),"— Not Triggered")</f>
        <v>— Not Triggered</v>
      </c>
      <c r="O4" s="88" t="s">
        <v>293</v>
      </c>
    </row>
    <row r="5" customFormat="false" ht="51.75" hidden="false" customHeight="true" outlineLevel="0" collapsed="false">
      <c r="A5" s="90" t="s">
        <v>294</v>
      </c>
      <c r="B5" s="69" t="s">
        <v>6</v>
      </c>
      <c r="C5" s="91" t="s">
        <v>295</v>
      </c>
      <c r="D5" s="91" t="s">
        <v>296</v>
      </c>
      <c r="E5" s="91" t="s">
        <v>297</v>
      </c>
      <c r="F5" s="92" t="n">
        <v>4</v>
      </c>
      <c r="G5" s="92" t="n">
        <v>4</v>
      </c>
      <c r="H5" s="79" t="n">
        <v>16</v>
      </c>
      <c r="I5" s="80" t="s">
        <v>83</v>
      </c>
      <c r="J5" s="91" t="s">
        <v>298</v>
      </c>
      <c r="K5" s="91" t="s">
        <v>299</v>
      </c>
      <c r="L5" s="74" t="s">
        <v>112</v>
      </c>
      <c r="M5" s="74" t="s">
        <v>113</v>
      </c>
      <c r="N5" s="75" t="str">
        <f aca="false">IF(M5="YES",IF(L5="Implemented","✅ Triggered+Mitigated",IF(L5="Partial","⚠️ Partial Controls","❌ Unmitigated")),"— Not Triggered")</f>
        <v>— Not Triggered</v>
      </c>
      <c r="O5" s="91" t="s">
        <v>300</v>
      </c>
    </row>
    <row r="6" customFormat="false" ht="51.75" hidden="false" customHeight="true" outlineLevel="0" collapsed="false">
      <c r="A6" s="87" t="s">
        <v>301</v>
      </c>
      <c r="B6" s="69" t="s">
        <v>6</v>
      </c>
      <c r="C6" s="88" t="s">
        <v>302</v>
      </c>
      <c r="D6" s="88" t="s">
        <v>303</v>
      </c>
      <c r="E6" s="88" t="s">
        <v>304</v>
      </c>
      <c r="F6" s="89" t="n">
        <v>3</v>
      </c>
      <c r="G6" s="89" t="n">
        <v>4</v>
      </c>
      <c r="H6" s="79" t="n">
        <v>12</v>
      </c>
      <c r="I6" s="80" t="s">
        <v>83</v>
      </c>
      <c r="J6" s="88" t="s">
        <v>305</v>
      </c>
      <c r="K6" s="88" t="s">
        <v>306</v>
      </c>
      <c r="L6" s="74" t="s">
        <v>112</v>
      </c>
      <c r="M6" s="74" t="s">
        <v>113</v>
      </c>
      <c r="N6" s="75" t="str">
        <f aca="false">IF(M6="YES",IF(L6="Implemented","✅ Triggered+Mitigated",IF(L6="Partial","⚠️ Partial Controls","❌ Unmitigated")),"— Not Triggered")</f>
        <v>— Not Triggered</v>
      </c>
      <c r="O6" s="88" t="s">
        <v>307</v>
      </c>
    </row>
    <row r="7" customFormat="false" ht="51.75" hidden="false" customHeight="true" outlineLevel="0" collapsed="false">
      <c r="A7" s="90" t="s">
        <v>308</v>
      </c>
      <c r="B7" s="69" t="s">
        <v>6</v>
      </c>
      <c r="C7" s="91" t="s">
        <v>309</v>
      </c>
      <c r="D7" s="91" t="s">
        <v>310</v>
      </c>
      <c r="E7" s="91" t="s">
        <v>311</v>
      </c>
      <c r="F7" s="92" t="n">
        <v>3</v>
      </c>
      <c r="G7" s="92" t="n">
        <v>5</v>
      </c>
      <c r="H7" s="79" t="n">
        <v>15</v>
      </c>
      <c r="I7" s="80" t="s">
        <v>83</v>
      </c>
      <c r="J7" s="91" t="s">
        <v>312</v>
      </c>
      <c r="K7" s="91" t="s">
        <v>313</v>
      </c>
      <c r="L7" s="74" t="s">
        <v>112</v>
      </c>
      <c r="M7" s="74" t="s">
        <v>113</v>
      </c>
      <c r="N7" s="75" t="str">
        <f aca="false">IF(M7="YES",IF(L7="Implemented","✅ Triggered+Mitigated",IF(L7="Partial","⚠️ Partial Controls","❌ Unmitigated")),"— Not Triggered")</f>
        <v>— Not Triggered</v>
      </c>
      <c r="O7" s="91" t="s">
        <v>314</v>
      </c>
    </row>
    <row r="8" customFormat="false" ht="51.75" hidden="false" customHeight="true" outlineLevel="0" collapsed="false">
      <c r="A8" s="87" t="s">
        <v>315</v>
      </c>
      <c r="B8" s="69" t="s">
        <v>6</v>
      </c>
      <c r="C8" s="88" t="s">
        <v>316</v>
      </c>
      <c r="D8" s="88" t="s">
        <v>317</v>
      </c>
      <c r="E8" s="88" t="s">
        <v>318</v>
      </c>
      <c r="F8" s="89" t="n">
        <v>4</v>
      </c>
      <c r="G8" s="89" t="n">
        <v>4</v>
      </c>
      <c r="H8" s="79" t="n">
        <v>16</v>
      </c>
      <c r="I8" s="80" t="s">
        <v>83</v>
      </c>
      <c r="J8" s="88" t="s">
        <v>319</v>
      </c>
      <c r="K8" s="88" t="s">
        <v>320</v>
      </c>
      <c r="L8" s="74" t="s">
        <v>112</v>
      </c>
      <c r="M8" s="74" t="s">
        <v>113</v>
      </c>
      <c r="N8" s="75" t="str">
        <f aca="false">IF(M8="YES",IF(L8="Implemented","✅ Triggered+Mitigated",IF(L8="Partial","⚠️ Partial Controls","❌ Unmitigated")),"— Not Triggered")</f>
        <v>— Not Triggered</v>
      </c>
      <c r="O8" s="88" t="s">
        <v>321</v>
      </c>
    </row>
    <row r="9" customFormat="false" ht="51.75" hidden="false" customHeight="true" outlineLevel="0" collapsed="false">
      <c r="A9" s="90" t="s">
        <v>322</v>
      </c>
      <c r="B9" s="81" t="s">
        <v>10</v>
      </c>
      <c r="C9" s="91" t="s">
        <v>323</v>
      </c>
      <c r="D9" s="91" t="s">
        <v>324</v>
      </c>
      <c r="E9" s="91" t="s">
        <v>325</v>
      </c>
      <c r="F9" s="92" t="n">
        <v>3</v>
      </c>
      <c r="G9" s="92" t="n">
        <v>5</v>
      </c>
      <c r="H9" s="79" t="n">
        <v>15</v>
      </c>
      <c r="I9" s="80" t="s">
        <v>83</v>
      </c>
      <c r="J9" s="91" t="s">
        <v>326</v>
      </c>
      <c r="K9" s="91" t="s">
        <v>327</v>
      </c>
      <c r="L9" s="74" t="s">
        <v>112</v>
      </c>
      <c r="M9" s="74" t="s">
        <v>113</v>
      </c>
      <c r="N9" s="75" t="str">
        <f aca="false">IF(M9="YES",IF(L9="Implemented","✅ Triggered+Mitigated",IF(L9="Partial","⚠️ Partial Controls","❌ Unmitigated")),"— Not Triggered")</f>
        <v>— Not Triggered</v>
      </c>
      <c r="O9" s="91" t="s">
        <v>328</v>
      </c>
    </row>
    <row r="10" customFormat="false" ht="51.75" hidden="false" customHeight="true" outlineLevel="0" collapsed="false">
      <c r="A10" s="87" t="s">
        <v>329</v>
      </c>
      <c r="B10" s="81" t="s">
        <v>10</v>
      </c>
      <c r="C10" s="88" t="s">
        <v>330</v>
      </c>
      <c r="D10" s="88" t="s">
        <v>331</v>
      </c>
      <c r="E10" s="88" t="s">
        <v>332</v>
      </c>
      <c r="F10" s="89" t="n">
        <v>3</v>
      </c>
      <c r="G10" s="89" t="n">
        <v>4</v>
      </c>
      <c r="H10" s="79" t="n">
        <v>12</v>
      </c>
      <c r="I10" s="80" t="s">
        <v>83</v>
      </c>
      <c r="J10" s="88" t="s">
        <v>333</v>
      </c>
      <c r="K10" s="88" t="s">
        <v>334</v>
      </c>
      <c r="L10" s="74" t="s">
        <v>112</v>
      </c>
      <c r="M10" s="74" t="s">
        <v>113</v>
      </c>
      <c r="N10" s="75" t="str">
        <f aca="false">IF(M10="YES",IF(L10="Implemented","✅ Triggered+Mitigated",IF(L10="Partial","⚠️ Partial Controls","❌ Unmitigated")),"— Not Triggered")</f>
        <v>— Not Triggered</v>
      </c>
      <c r="O10" s="88" t="s">
        <v>335</v>
      </c>
    </row>
    <row r="11" customFormat="false" ht="51.75" hidden="false" customHeight="true" outlineLevel="0" collapsed="false">
      <c r="A11" s="90" t="s">
        <v>336</v>
      </c>
      <c r="B11" s="81" t="s">
        <v>10</v>
      </c>
      <c r="C11" s="91" t="s">
        <v>337</v>
      </c>
      <c r="D11" s="91" t="s">
        <v>338</v>
      </c>
      <c r="E11" s="91" t="s">
        <v>339</v>
      </c>
      <c r="F11" s="92" t="n">
        <v>4</v>
      </c>
      <c r="G11" s="92" t="n">
        <v>4</v>
      </c>
      <c r="H11" s="79" t="n">
        <v>16</v>
      </c>
      <c r="I11" s="80" t="s">
        <v>83</v>
      </c>
      <c r="J11" s="91" t="s">
        <v>340</v>
      </c>
      <c r="K11" s="91" t="s">
        <v>341</v>
      </c>
      <c r="L11" s="74" t="s">
        <v>112</v>
      </c>
      <c r="M11" s="74" t="s">
        <v>113</v>
      </c>
      <c r="N11" s="75" t="str">
        <f aca="false">IF(M11="YES",IF(L11="Implemented","✅ Triggered+Mitigated",IF(L11="Partial","⚠️ Partial Controls","❌ Unmitigated")),"— Not Triggered")</f>
        <v>— Not Triggered</v>
      </c>
      <c r="O11" s="91" t="s">
        <v>342</v>
      </c>
    </row>
    <row r="12" customFormat="false" ht="51.75" hidden="false" customHeight="true" outlineLevel="0" collapsed="false">
      <c r="A12" s="87" t="s">
        <v>343</v>
      </c>
      <c r="B12" s="81" t="s">
        <v>10</v>
      </c>
      <c r="C12" s="88" t="s">
        <v>344</v>
      </c>
      <c r="D12" s="88" t="s">
        <v>345</v>
      </c>
      <c r="E12" s="88" t="s">
        <v>346</v>
      </c>
      <c r="F12" s="89" t="n">
        <v>3</v>
      </c>
      <c r="G12" s="89" t="n">
        <v>4</v>
      </c>
      <c r="H12" s="79" t="n">
        <v>12</v>
      </c>
      <c r="I12" s="80" t="s">
        <v>83</v>
      </c>
      <c r="J12" s="88" t="s">
        <v>347</v>
      </c>
      <c r="K12" s="88" t="s">
        <v>348</v>
      </c>
      <c r="L12" s="74" t="s">
        <v>112</v>
      </c>
      <c r="M12" s="74" t="s">
        <v>113</v>
      </c>
      <c r="N12" s="75" t="str">
        <f aca="false">IF(M12="YES",IF(L12="Implemented","✅ Triggered+Mitigated",IF(L12="Partial","⚠️ Partial Controls","❌ Unmitigated")),"— Not Triggered")</f>
        <v>— Not Triggered</v>
      </c>
      <c r="O12" s="88" t="s">
        <v>349</v>
      </c>
    </row>
    <row r="13" customFormat="false" ht="51.75" hidden="false" customHeight="true" outlineLevel="0" collapsed="false">
      <c r="A13" s="90" t="s">
        <v>350</v>
      </c>
      <c r="B13" s="81" t="s">
        <v>10</v>
      </c>
      <c r="C13" s="91" t="s">
        <v>351</v>
      </c>
      <c r="D13" s="91" t="s">
        <v>352</v>
      </c>
      <c r="E13" s="91" t="s">
        <v>353</v>
      </c>
      <c r="F13" s="92" t="n">
        <v>3</v>
      </c>
      <c r="G13" s="92" t="n">
        <v>4</v>
      </c>
      <c r="H13" s="79" t="n">
        <v>12</v>
      </c>
      <c r="I13" s="80" t="s">
        <v>83</v>
      </c>
      <c r="J13" s="91" t="s">
        <v>354</v>
      </c>
      <c r="K13" s="91" t="s">
        <v>355</v>
      </c>
      <c r="L13" s="74" t="s">
        <v>112</v>
      </c>
      <c r="M13" s="74" t="s">
        <v>113</v>
      </c>
      <c r="N13" s="75" t="str">
        <f aca="false">IF(M13="YES",IF(L13="Implemented","✅ Triggered+Mitigated",IF(L13="Partial","⚠️ Partial Controls","❌ Unmitigated")),"— Not Triggered")</f>
        <v>— Not Triggered</v>
      </c>
      <c r="O13" s="91" t="s">
        <v>356</v>
      </c>
    </row>
    <row r="14" customFormat="false" ht="51.75" hidden="false" customHeight="true" outlineLevel="0" collapsed="false">
      <c r="A14" s="87" t="s">
        <v>357</v>
      </c>
      <c r="B14" s="82" t="s">
        <v>14</v>
      </c>
      <c r="C14" s="88" t="s">
        <v>358</v>
      </c>
      <c r="D14" s="88" t="s">
        <v>359</v>
      </c>
      <c r="E14" s="88" t="s">
        <v>360</v>
      </c>
      <c r="F14" s="89" t="n">
        <v>3</v>
      </c>
      <c r="G14" s="89" t="n">
        <v>4</v>
      </c>
      <c r="H14" s="79" t="n">
        <v>12</v>
      </c>
      <c r="I14" s="80" t="s">
        <v>83</v>
      </c>
      <c r="J14" s="88" t="s">
        <v>361</v>
      </c>
      <c r="K14" s="88" t="s">
        <v>362</v>
      </c>
      <c r="L14" s="74" t="s">
        <v>112</v>
      </c>
      <c r="M14" s="74" t="s">
        <v>113</v>
      </c>
      <c r="N14" s="75" t="str">
        <f aca="false">IF(M14="YES",IF(L14="Implemented","✅ Triggered+Mitigated",IF(L14="Partial","⚠️ Partial Controls","❌ Unmitigated")),"— Not Triggered")</f>
        <v>— Not Triggered</v>
      </c>
      <c r="O14" s="88" t="s">
        <v>363</v>
      </c>
    </row>
    <row r="15" customFormat="false" ht="51.75" hidden="false" customHeight="true" outlineLevel="0" collapsed="false">
      <c r="A15" s="90" t="s">
        <v>364</v>
      </c>
      <c r="B15" s="82" t="s">
        <v>14</v>
      </c>
      <c r="C15" s="91" t="s">
        <v>365</v>
      </c>
      <c r="D15" s="91" t="s">
        <v>366</v>
      </c>
      <c r="E15" s="91" t="s">
        <v>367</v>
      </c>
      <c r="F15" s="92" t="n">
        <v>4</v>
      </c>
      <c r="G15" s="92" t="n">
        <v>3</v>
      </c>
      <c r="H15" s="79" t="n">
        <v>12</v>
      </c>
      <c r="I15" s="80" t="s">
        <v>83</v>
      </c>
      <c r="J15" s="91" t="s">
        <v>368</v>
      </c>
      <c r="K15" s="91" t="s">
        <v>369</v>
      </c>
      <c r="L15" s="74" t="s">
        <v>112</v>
      </c>
      <c r="M15" s="74" t="s">
        <v>113</v>
      </c>
      <c r="N15" s="75" t="str">
        <f aca="false">IF(M15="YES",IF(L15="Implemented","✅ Triggered+Mitigated",IF(L15="Partial","⚠️ Partial Controls","❌ Unmitigated")),"— Not Triggered")</f>
        <v>— Not Triggered</v>
      </c>
      <c r="O15" s="91" t="s">
        <v>370</v>
      </c>
    </row>
    <row r="16" customFormat="false" ht="51.75" hidden="false" customHeight="true" outlineLevel="0" collapsed="false">
      <c r="A16" s="87" t="s">
        <v>371</v>
      </c>
      <c r="B16" s="82" t="s">
        <v>14</v>
      </c>
      <c r="C16" s="88" t="s">
        <v>372</v>
      </c>
      <c r="D16" s="88" t="s">
        <v>373</v>
      </c>
      <c r="E16" s="88" t="s">
        <v>374</v>
      </c>
      <c r="F16" s="89" t="n">
        <v>3</v>
      </c>
      <c r="G16" s="89" t="n">
        <v>4</v>
      </c>
      <c r="H16" s="79" t="n">
        <v>12</v>
      </c>
      <c r="I16" s="80" t="s">
        <v>83</v>
      </c>
      <c r="J16" s="88" t="s">
        <v>375</v>
      </c>
      <c r="K16" s="88" t="s">
        <v>376</v>
      </c>
      <c r="L16" s="74" t="s">
        <v>112</v>
      </c>
      <c r="M16" s="74" t="s">
        <v>113</v>
      </c>
      <c r="N16" s="75" t="str">
        <f aca="false">IF(M16="YES",IF(L16="Implemented","✅ Triggered+Mitigated",IF(L16="Partial","⚠️ Partial Controls","❌ Unmitigated")),"— Not Triggered")</f>
        <v>— Not Triggered</v>
      </c>
      <c r="O16" s="88" t="s">
        <v>377</v>
      </c>
    </row>
    <row r="17" customFormat="false" ht="51.75" hidden="false" customHeight="true" outlineLevel="0" collapsed="false">
      <c r="A17" s="90" t="s">
        <v>378</v>
      </c>
      <c r="B17" s="83" t="s">
        <v>18</v>
      </c>
      <c r="C17" s="91" t="s">
        <v>379</v>
      </c>
      <c r="D17" s="91" t="s">
        <v>380</v>
      </c>
      <c r="E17" s="91" t="s">
        <v>381</v>
      </c>
      <c r="F17" s="92" t="n">
        <v>5</v>
      </c>
      <c r="G17" s="92" t="n">
        <v>5</v>
      </c>
      <c r="H17" s="72" t="n">
        <v>25</v>
      </c>
      <c r="I17" s="73" t="s">
        <v>82</v>
      </c>
      <c r="J17" s="91" t="s">
        <v>382</v>
      </c>
      <c r="K17" s="91" t="s">
        <v>383</v>
      </c>
      <c r="L17" s="74" t="s">
        <v>112</v>
      </c>
      <c r="M17" s="74" t="s">
        <v>113</v>
      </c>
      <c r="N17" s="75" t="str">
        <f aca="false">IF(M17="YES",IF(L17="Implemented","✅ Triggered+Mitigated",IF(L17="Partial","⚠️ Partial Controls","❌ Unmitigated")),"— Not Triggered")</f>
        <v>— Not Triggered</v>
      </c>
      <c r="O17" s="91" t="s">
        <v>384</v>
      </c>
    </row>
    <row r="18" customFormat="false" ht="51.75" hidden="false" customHeight="true" outlineLevel="0" collapsed="false">
      <c r="A18" s="87" t="s">
        <v>385</v>
      </c>
      <c r="B18" s="83" t="s">
        <v>18</v>
      </c>
      <c r="C18" s="88" t="s">
        <v>386</v>
      </c>
      <c r="D18" s="88" t="s">
        <v>387</v>
      </c>
      <c r="E18" s="88" t="s">
        <v>388</v>
      </c>
      <c r="F18" s="89" t="n">
        <v>4</v>
      </c>
      <c r="G18" s="89" t="n">
        <v>4</v>
      </c>
      <c r="H18" s="79" t="n">
        <v>16</v>
      </c>
      <c r="I18" s="80" t="s">
        <v>83</v>
      </c>
      <c r="J18" s="88" t="s">
        <v>389</v>
      </c>
      <c r="K18" s="88" t="s">
        <v>390</v>
      </c>
      <c r="L18" s="74" t="s">
        <v>112</v>
      </c>
      <c r="M18" s="74" t="s">
        <v>113</v>
      </c>
      <c r="N18" s="75" t="str">
        <f aca="false">IF(M18="YES",IF(L18="Implemented","✅ Triggered+Mitigated",IF(L18="Partial","⚠️ Partial Controls","❌ Unmitigated")),"— Not Triggered")</f>
        <v>— Not Triggered</v>
      </c>
      <c r="O18" s="88" t="s">
        <v>391</v>
      </c>
    </row>
    <row r="19" customFormat="false" ht="51.75" hidden="false" customHeight="true" outlineLevel="0" collapsed="false">
      <c r="A19" s="90" t="s">
        <v>392</v>
      </c>
      <c r="B19" s="83" t="s">
        <v>18</v>
      </c>
      <c r="C19" s="91" t="s">
        <v>393</v>
      </c>
      <c r="D19" s="91" t="s">
        <v>394</v>
      </c>
      <c r="E19" s="91" t="s">
        <v>395</v>
      </c>
      <c r="F19" s="92" t="n">
        <v>4</v>
      </c>
      <c r="G19" s="92" t="n">
        <v>3</v>
      </c>
      <c r="H19" s="79" t="n">
        <v>12</v>
      </c>
      <c r="I19" s="80" t="s">
        <v>83</v>
      </c>
      <c r="J19" s="91" t="s">
        <v>396</v>
      </c>
      <c r="K19" s="91" t="s">
        <v>397</v>
      </c>
      <c r="L19" s="74" t="s">
        <v>112</v>
      </c>
      <c r="M19" s="74" t="s">
        <v>113</v>
      </c>
      <c r="N19" s="75" t="str">
        <f aca="false">IF(M19="YES",IF(L19="Implemented","✅ Triggered+Mitigated",IF(L19="Partial","⚠️ Partial Controls","❌ Unmitigated")),"— Not Triggered")</f>
        <v>— Not Triggered</v>
      </c>
      <c r="O19" s="91" t="s">
        <v>398</v>
      </c>
    </row>
    <row r="20" customFormat="false" ht="51.75" hidden="false" customHeight="true" outlineLevel="0" collapsed="false">
      <c r="A20" s="87" t="s">
        <v>399</v>
      </c>
      <c r="B20" s="83" t="s">
        <v>18</v>
      </c>
      <c r="C20" s="88" t="s">
        <v>400</v>
      </c>
      <c r="D20" s="88" t="s">
        <v>401</v>
      </c>
      <c r="E20" s="88" t="s">
        <v>402</v>
      </c>
      <c r="F20" s="89" t="n">
        <v>3</v>
      </c>
      <c r="G20" s="89" t="n">
        <v>3</v>
      </c>
      <c r="H20" s="93" t="n">
        <v>9</v>
      </c>
      <c r="I20" s="94" t="s">
        <v>84</v>
      </c>
      <c r="J20" s="88" t="s">
        <v>403</v>
      </c>
      <c r="K20" s="88" t="s">
        <v>404</v>
      </c>
      <c r="L20" s="74" t="s">
        <v>112</v>
      </c>
      <c r="M20" s="74" t="s">
        <v>113</v>
      </c>
      <c r="N20" s="75" t="str">
        <f aca="false">IF(M20="YES",IF(L20="Implemented","✅ Triggered+Mitigated",IF(L20="Partial","⚠️ Partial Controls","❌ Unmitigated")),"— Not Triggered")</f>
        <v>— Not Triggered</v>
      </c>
      <c r="O20" s="88" t="s">
        <v>405</v>
      </c>
    </row>
    <row r="21" customFormat="false" ht="51.75" hidden="false" customHeight="true" outlineLevel="0" collapsed="false">
      <c r="A21" s="90" t="s">
        <v>406</v>
      </c>
      <c r="B21" s="83" t="s">
        <v>18</v>
      </c>
      <c r="C21" s="91" t="s">
        <v>407</v>
      </c>
      <c r="D21" s="91" t="s">
        <v>408</v>
      </c>
      <c r="E21" s="91" t="s">
        <v>409</v>
      </c>
      <c r="F21" s="92" t="n">
        <v>3</v>
      </c>
      <c r="G21" s="92" t="n">
        <v>4</v>
      </c>
      <c r="H21" s="79" t="n">
        <v>12</v>
      </c>
      <c r="I21" s="80" t="s">
        <v>83</v>
      </c>
      <c r="J21" s="91" t="s">
        <v>410</v>
      </c>
      <c r="K21" s="91" t="s">
        <v>411</v>
      </c>
      <c r="L21" s="74" t="s">
        <v>112</v>
      </c>
      <c r="M21" s="74" t="s">
        <v>113</v>
      </c>
      <c r="N21" s="75" t="str">
        <f aca="false">IF(M21="YES",IF(L21="Implemented","✅ Triggered+Mitigated",IF(L21="Partial","⚠️ Partial Controls","❌ Unmitigated")),"— Not Triggered")</f>
        <v>— Not Triggered</v>
      </c>
      <c r="O21" s="91" t="s">
        <v>412</v>
      </c>
    </row>
    <row r="22" customFormat="false" ht="51.75" hidden="false" customHeight="true" outlineLevel="0" collapsed="false">
      <c r="A22" s="87" t="s">
        <v>413</v>
      </c>
      <c r="B22" s="84" t="s">
        <v>22</v>
      </c>
      <c r="C22" s="88" t="s">
        <v>414</v>
      </c>
      <c r="D22" s="88" t="s">
        <v>415</v>
      </c>
      <c r="E22" s="88" t="s">
        <v>416</v>
      </c>
      <c r="F22" s="89" t="n">
        <v>5</v>
      </c>
      <c r="G22" s="89" t="n">
        <v>4</v>
      </c>
      <c r="H22" s="72" t="n">
        <v>20</v>
      </c>
      <c r="I22" s="73" t="s">
        <v>82</v>
      </c>
      <c r="J22" s="88" t="s">
        <v>417</v>
      </c>
      <c r="K22" s="88" t="s">
        <v>418</v>
      </c>
      <c r="L22" s="74" t="s">
        <v>112</v>
      </c>
      <c r="M22" s="74" t="s">
        <v>113</v>
      </c>
      <c r="N22" s="75" t="str">
        <f aca="false">IF(M22="YES",IF(L22="Implemented","✅ Triggered+Mitigated",IF(L22="Partial","⚠️ Partial Controls","❌ Unmitigated")),"— Not Triggered")</f>
        <v>— Not Triggered</v>
      </c>
      <c r="O22" s="88" t="s">
        <v>419</v>
      </c>
    </row>
    <row r="23" customFormat="false" ht="51.75" hidden="false" customHeight="true" outlineLevel="0" collapsed="false">
      <c r="A23" s="90" t="s">
        <v>420</v>
      </c>
      <c r="B23" s="84" t="s">
        <v>22</v>
      </c>
      <c r="C23" s="91" t="s">
        <v>421</v>
      </c>
      <c r="D23" s="91" t="s">
        <v>422</v>
      </c>
      <c r="E23" s="91" t="s">
        <v>423</v>
      </c>
      <c r="F23" s="92" t="n">
        <v>4</v>
      </c>
      <c r="G23" s="92" t="n">
        <v>4</v>
      </c>
      <c r="H23" s="79" t="n">
        <v>16</v>
      </c>
      <c r="I23" s="80" t="s">
        <v>83</v>
      </c>
      <c r="J23" s="91" t="s">
        <v>424</v>
      </c>
      <c r="K23" s="91" t="s">
        <v>425</v>
      </c>
      <c r="L23" s="74" t="s">
        <v>112</v>
      </c>
      <c r="M23" s="74" t="s">
        <v>113</v>
      </c>
      <c r="N23" s="75" t="str">
        <f aca="false">IF(M23="YES",IF(L23="Implemented","✅ Triggered+Mitigated",IF(L23="Partial","⚠️ Partial Controls","❌ Unmitigated")),"— Not Triggered")</f>
        <v>— Not Triggered</v>
      </c>
      <c r="O23" s="91" t="s">
        <v>426</v>
      </c>
    </row>
    <row r="24" customFormat="false" ht="51.75" hidden="false" customHeight="true" outlineLevel="0" collapsed="false">
      <c r="A24" s="87" t="s">
        <v>427</v>
      </c>
      <c r="B24" s="84" t="s">
        <v>22</v>
      </c>
      <c r="C24" s="88" t="s">
        <v>428</v>
      </c>
      <c r="D24" s="88" t="s">
        <v>429</v>
      </c>
      <c r="E24" s="88" t="s">
        <v>430</v>
      </c>
      <c r="F24" s="89" t="n">
        <v>4</v>
      </c>
      <c r="G24" s="89" t="n">
        <v>5</v>
      </c>
      <c r="H24" s="72" t="n">
        <v>20</v>
      </c>
      <c r="I24" s="73" t="s">
        <v>82</v>
      </c>
      <c r="J24" s="88" t="s">
        <v>431</v>
      </c>
      <c r="K24" s="88" t="s">
        <v>432</v>
      </c>
      <c r="L24" s="74" t="s">
        <v>112</v>
      </c>
      <c r="M24" s="74" t="s">
        <v>113</v>
      </c>
      <c r="N24" s="75" t="str">
        <f aca="false">IF(M24="YES",IF(L24="Implemented","✅ Triggered+Mitigated",IF(L24="Partial","⚠️ Partial Controls","❌ Unmitigated")),"— Not Triggered")</f>
        <v>— Not Triggered</v>
      </c>
      <c r="O24" s="88" t="s">
        <v>433</v>
      </c>
    </row>
    <row r="25" customFormat="false" ht="51.75" hidden="false" customHeight="true" outlineLevel="0" collapsed="false">
      <c r="A25" s="90" t="s">
        <v>434</v>
      </c>
      <c r="B25" s="84" t="s">
        <v>22</v>
      </c>
      <c r="C25" s="91" t="s">
        <v>435</v>
      </c>
      <c r="D25" s="91" t="s">
        <v>436</v>
      </c>
      <c r="E25" s="91" t="s">
        <v>437</v>
      </c>
      <c r="F25" s="92" t="n">
        <v>3</v>
      </c>
      <c r="G25" s="92" t="n">
        <v>3</v>
      </c>
      <c r="H25" s="93" t="n">
        <v>9</v>
      </c>
      <c r="I25" s="94" t="s">
        <v>84</v>
      </c>
      <c r="J25" s="91" t="s">
        <v>438</v>
      </c>
      <c r="K25" s="91" t="s">
        <v>439</v>
      </c>
      <c r="L25" s="74" t="s">
        <v>112</v>
      </c>
      <c r="M25" s="74" t="s">
        <v>113</v>
      </c>
      <c r="N25" s="75" t="str">
        <f aca="false">IF(M25="YES",IF(L25="Implemented","✅ Triggered+Mitigated",IF(L25="Partial","⚠️ Partial Controls","❌ Unmitigated")),"— Not Triggered")</f>
        <v>— Not Triggered</v>
      </c>
      <c r="O25" s="91" t="s">
        <v>440</v>
      </c>
    </row>
    <row r="26" customFormat="false" ht="51.75" hidden="false" customHeight="true" outlineLevel="0" collapsed="false">
      <c r="A26" s="87" t="s">
        <v>441</v>
      </c>
      <c r="B26" s="85" t="s">
        <v>26</v>
      </c>
      <c r="C26" s="88" t="s">
        <v>442</v>
      </c>
      <c r="D26" s="88" t="s">
        <v>443</v>
      </c>
      <c r="E26" s="88" t="s">
        <v>444</v>
      </c>
      <c r="F26" s="89" t="n">
        <v>4</v>
      </c>
      <c r="G26" s="89" t="n">
        <v>4</v>
      </c>
      <c r="H26" s="79" t="n">
        <v>16</v>
      </c>
      <c r="I26" s="80" t="s">
        <v>83</v>
      </c>
      <c r="J26" s="88" t="s">
        <v>445</v>
      </c>
      <c r="K26" s="88" t="s">
        <v>446</v>
      </c>
      <c r="L26" s="74" t="s">
        <v>112</v>
      </c>
      <c r="M26" s="74" t="s">
        <v>113</v>
      </c>
      <c r="N26" s="75" t="str">
        <f aca="false">IF(M26="YES",IF(L26="Implemented","✅ Triggered+Mitigated",IF(L26="Partial","⚠️ Partial Controls","❌ Unmitigated")),"— Not Triggered")</f>
        <v>— Not Triggered</v>
      </c>
      <c r="O26" s="88" t="s">
        <v>447</v>
      </c>
    </row>
    <row r="27" customFormat="false" ht="51.75" hidden="false" customHeight="true" outlineLevel="0" collapsed="false">
      <c r="A27" s="90" t="s">
        <v>448</v>
      </c>
      <c r="B27" s="85" t="s">
        <v>26</v>
      </c>
      <c r="C27" s="91" t="s">
        <v>449</v>
      </c>
      <c r="D27" s="91" t="s">
        <v>450</v>
      </c>
      <c r="E27" s="91" t="s">
        <v>297</v>
      </c>
      <c r="F27" s="92" t="n">
        <v>3</v>
      </c>
      <c r="G27" s="92" t="n">
        <v>5</v>
      </c>
      <c r="H27" s="79" t="n">
        <v>15</v>
      </c>
      <c r="I27" s="80" t="s">
        <v>83</v>
      </c>
      <c r="J27" s="91" t="s">
        <v>451</v>
      </c>
      <c r="K27" s="91" t="s">
        <v>452</v>
      </c>
      <c r="L27" s="74" t="s">
        <v>112</v>
      </c>
      <c r="M27" s="74" t="s">
        <v>113</v>
      </c>
      <c r="N27" s="75" t="str">
        <f aca="false">IF(M27="YES",IF(L27="Implemented","✅ Triggered+Mitigated",IF(L27="Partial","⚠️ Partial Controls","❌ Unmitigated")),"— Not Triggered")</f>
        <v>— Not Triggered</v>
      </c>
      <c r="O27" s="91" t="s">
        <v>453</v>
      </c>
    </row>
    <row r="28" customFormat="false" ht="51.75" hidden="false" customHeight="true" outlineLevel="0" collapsed="false">
      <c r="A28" s="87" t="s">
        <v>454</v>
      </c>
      <c r="B28" s="85" t="s">
        <v>26</v>
      </c>
      <c r="C28" s="88" t="s">
        <v>455</v>
      </c>
      <c r="D28" s="88" t="s">
        <v>456</v>
      </c>
      <c r="E28" s="88" t="s">
        <v>457</v>
      </c>
      <c r="F28" s="89" t="n">
        <v>3</v>
      </c>
      <c r="G28" s="89" t="n">
        <v>4</v>
      </c>
      <c r="H28" s="79" t="n">
        <v>12</v>
      </c>
      <c r="I28" s="80" t="s">
        <v>83</v>
      </c>
      <c r="J28" s="88" t="s">
        <v>458</v>
      </c>
      <c r="K28" s="88" t="s">
        <v>459</v>
      </c>
      <c r="L28" s="74" t="s">
        <v>112</v>
      </c>
      <c r="M28" s="74" t="s">
        <v>113</v>
      </c>
      <c r="N28" s="75" t="str">
        <f aca="false">IF(M28="YES",IF(L28="Implemented","✅ Triggered+Mitigated",IF(L28="Partial","⚠️ Partial Controls","❌ Unmitigated")),"— Not Triggered")</f>
        <v>— Not Triggered</v>
      </c>
      <c r="O28" s="88" t="s">
        <v>460</v>
      </c>
    </row>
    <row r="29" customFormat="false" ht="51.75" hidden="false" customHeight="true" outlineLevel="0" collapsed="false">
      <c r="A29" s="90" t="s">
        <v>461</v>
      </c>
      <c r="B29" s="85" t="s">
        <v>26</v>
      </c>
      <c r="C29" s="91" t="s">
        <v>462</v>
      </c>
      <c r="D29" s="91" t="s">
        <v>463</v>
      </c>
      <c r="E29" s="91" t="s">
        <v>464</v>
      </c>
      <c r="F29" s="92" t="n">
        <v>4</v>
      </c>
      <c r="G29" s="92" t="n">
        <v>4</v>
      </c>
      <c r="H29" s="79" t="n">
        <v>16</v>
      </c>
      <c r="I29" s="80" t="s">
        <v>83</v>
      </c>
      <c r="J29" s="91" t="s">
        <v>465</v>
      </c>
      <c r="K29" s="91" t="s">
        <v>439</v>
      </c>
      <c r="L29" s="74" t="s">
        <v>112</v>
      </c>
      <c r="M29" s="74" t="s">
        <v>113</v>
      </c>
      <c r="N29" s="75" t="str">
        <f aca="false">IF(M29="YES",IF(L29="Implemented","✅ Triggered+Mitigated",IF(L29="Partial","⚠️ Partial Controls","❌ Unmitigated")),"— Not Triggered")</f>
        <v>— Not Triggered</v>
      </c>
      <c r="O29" s="91" t="s">
        <v>466</v>
      </c>
    </row>
    <row r="30" customFormat="false" ht="51.75" hidden="false" customHeight="true" outlineLevel="0" collapsed="false">
      <c r="A30" s="87" t="s">
        <v>467</v>
      </c>
      <c r="B30" s="85" t="s">
        <v>26</v>
      </c>
      <c r="C30" s="88" t="s">
        <v>468</v>
      </c>
      <c r="D30" s="88" t="s">
        <v>469</v>
      </c>
      <c r="E30" s="88" t="s">
        <v>470</v>
      </c>
      <c r="F30" s="89" t="n">
        <v>3</v>
      </c>
      <c r="G30" s="89" t="n">
        <v>4</v>
      </c>
      <c r="H30" s="79" t="n">
        <v>12</v>
      </c>
      <c r="I30" s="80" t="s">
        <v>83</v>
      </c>
      <c r="J30" s="88" t="s">
        <v>471</v>
      </c>
      <c r="K30" s="88" t="s">
        <v>472</v>
      </c>
      <c r="L30" s="74" t="s">
        <v>112</v>
      </c>
      <c r="M30" s="74" t="s">
        <v>113</v>
      </c>
      <c r="N30" s="75" t="str">
        <f aca="false">IF(M30="YES",IF(L30="Implemented","✅ Triggered+Mitigated",IF(L30="Partial","⚠️ Partial Controls","❌ Unmitigated")),"— Not Triggered")</f>
        <v>— Not Triggered</v>
      </c>
      <c r="O30" s="88" t="s">
        <v>473</v>
      </c>
    </row>
  </sheetData>
  <mergeCells count="1">
    <mergeCell ref="A2:O2"/>
  </mergeCells>
  <conditionalFormatting sqref="N4">
    <cfRule type="expression" priority="2" aboveAverage="0" equalAverage="0" bottom="0" percent="0" rank="0" text="" dxfId="0">
      <formula>AND(M4="YES",L4="Implemented")</formula>
    </cfRule>
    <cfRule type="expression" priority="3" aboveAverage="0" equalAverage="0" bottom="0" percent="0" rank="0" text="" dxfId="1">
      <formula>AND(M4="YES",L4="Partial")</formula>
    </cfRule>
    <cfRule type="expression" priority="4" aboveAverage="0" equalAverage="0" bottom="0" percent="0" rank="0" text="" dxfId="2">
      <formula>AND(M4="YES",L4="None")</formula>
    </cfRule>
  </conditionalFormatting>
  <conditionalFormatting sqref="N5">
    <cfRule type="expression" priority="5" aboveAverage="0" equalAverage="0" bottom="0" percent="0" rank="0" text="" dxfId="0">
      <formula>AND(M5="YES",L5="Implemented")</formula>
    </cfRule>
    <cfRule type="expression" priority="6" aboveAverage="0" equalAverage="0" bottom="0" percent="0" rank="0" text="" dxfId="1">
      <formula>AND(M5="YES",L5="Partial")</formula>
    </cfRule>
    <cfRule type="expression" priority="7" aboveAverage="0" equalAverage="0" bottom="0" percent="0" rank="0" text="" dxfId="2">
      <formula>AND(M5="YES",L5="None")</formula>
    </cfRule>
  </conditionalFormatting>
  <conditionalFormatting sqref="N6">
    <cfRule type="expression" priority="8" aboveAverage="0" equalAverage="0" bottom="0" percent="0" rank="0" text="" dxfId="0">
      <formula>AND(M6="YES",L6="Implemented")</formula>
    </cfRule>
    <cfRule type="expression" priority="9" aboveAverage="0" equalAverage="0" bottom="0" percent="0" rank="0" text="" dxfId="1">
      <formula>AND(M6="YES",L6="Partial")</formula>
    </cfRule>
    <cfRule type="expression" priority="10" aboveAverage="0" equalAverage="0" bottom="0" percent="0" rank="0" text="" dxfId="2">
      <formula>AND(M6="YES",L6="None")</formula>
    </cfRule>
  </conditionalFormatting>
  <conditionalFormatting sqref="N7">
    <cfRule type="expression" priority="11" aboveAverage="0" equalAverage="0" bottom="0" percent="0" rank="0" text="" dxfId="0">
      <formula>AND(M7="YES",L7="Implemented")</formula>
    </cfRule>
    <cfRule type="expression" priority="12" aboveAverage="0" equalAverage="0" bottom="0" percent="0" rank="0" text="" dxfId="1">
      <formula>AND(M7="YES",L7="Partial")</formula>
    </cfRule>
    <cfRule type="expression" priority="13" aboveAverage="0" equalAverage="0" bottom="0" percent="0" rank="0" text="" dxfId="2">
      <formula>AND(M7="YES",L7="None")</formula>
    </cfRule>
  </conditionalFormatting>
  <conditionalFormatting sqref="N8">
    <cfRule type="expression" priority="14" aboveAverage="0" equalAverage="0" bottom="0" percent="0" rank="0" text="" dxfId="0">
      <formula>AND(M8="YES",L8="Implemented")</formula>
    </cfRule>
    <cfRule type="expression" priority="15" aboveAverage="0" equalAverage="0" bottom="0" percent="0" rank="0" text="" dxfId="1">
      <formula>AND(M8="YES",L8="Partial")</formula>
    </cfRule>
    <cfRule type="expression" priority="16" aboveAverage="0" equalAverage="0" bottom="0" percent="0" rank="0" text="" dxfId="2">
      <formula>AND(M8="YES",L8="None")</formula>
    </cfRule>
  </conditionalFormatting>
  <conditionalFormatting sqref="N9">
    <cfRule type="expression" priority="17" aboveAverage="0" equalAverage="0" bottom="0" percent="0" rank="0" text="" dxfId="0">
      <formula>AND(M9="YES",L9="Implemented")</formula>
    </cfRule>
    <cfRule type="expression" priority="18" aboveAverage="0" equalAverage="0" bottom="0" percent="0" rank="0" text="" dxfId="1">
      <formula>AND(M9="YES",L9="Partial")</formula>
    </cfRule>
    <cfRule type="expression" priority="19" aboveAverage="0" equalAverage="0" bottom="0" percent="0" rank="0" text="" dxfId="2">
      <formula>AND(M9="YES",L9="None")</formula>
    </cfRule>
  </conditionalFormatting>
  <conditionalFormatting sqref="N10">
    <cfRule type="expression" priority="20" aboveAverage="0" equalAverage="0" bottom="0" percent="0" rank="0" text="" dxfId="0">
      <formula>AND(M10="YES",L10="Implemented")</formula>
    </cfRule>
    <cfRule type="expression" priority="21" aboveAverage="0" equalAverage="0" bottom="0" percent="0" rank="0" text="" dxfId="1">
      <formula>AND(M10="YES",L10="Partial")</formula>
    </cfRule>
    <cfRule type="expression" priority="22" aboveAverage="0" equalAverage="0" bottom="0" percent="0" rank="0" text="" dxfId="2">
      <formula>AND(M10="YES",L10="None")</formula>
    </cfRule>
  </conditionalFormatting>
  <conditionalFormatting sqref="N11">
    <cfRule type="expression" priority="23" aboveAverage="0" equalAverage="0" bottom="0" percent="0" rank="0" text="" dxfId="0">
      <formula>AND(M11="YES",L11="Implemented")</formula>
    </cfRule>
    <cfRule type="expression" priority="24" aboveAverage="0" equalAverage="0" bottom="0" percent="0" rank="0" text="" dxfId="1">
      <formula>AND(M11="YES",L11="Partial")</formula>
    </cfRule>
    <cfRule type="expression" priority="25" aboveAverage="0" equalAverage="0" bottom="0" percent="0" rank="0" text="" dxfId="2">
      <formula>AND(M11="YES",L11="None")</formula>
    </cfRule>
  </conditionalFormatting>
  <conditionalFormatting sqref="N12">
    <cfRule type="expression" priority="26" aboveAverage="0" equalAverage="0" bottom="0" percent="0" rank="0" text="" dxfId="0">
      <formula>AND(M12="YES",L12="Implemented")</formula>
    </cfRule>
    <cfRule type="expression" priority="27" aboveAverage="0" equalAverage="0" bottom="0" percent="0" rank="0" text="" dxfId="1">
      <formula>AND(M12="YES",L12="Partial")</formula>
    </cfRule>
    <cfRule type="expression" priority="28" aboveAverage="0" equalAverage="0" bottom="0" percent="0" rank="0" text="" dxfId="2">
      <formula>AND(M12="YES",L12="None")</formula>
    </cfRule>
  </conditionalFormatting>
  <conditionalFormatting sqref="N13">
    <cfRule type="expression" priority="29" aboveAverage="0" equalAverage="0" bottom="0" percent="0" rank="0" text="" dxfId="0">
      <formula>AND(M13="YES",L13="Implemented")</formula>
    </cfRule>
    <cfRule type="expression" priority="30" aboveAverage="0" equalAverage="0" bottom="0" percent="0" rank="0" text="" dxfId="1">
      <formula>AND(M13="YES",L13="Partial")</formula>
    </cfRule>
    <cfRule type="expression" priority="31" aboveAverage="0" equalAverage="0" bottom="0" percent="0" rank="0" text="" dxfId="2">
      <formula>AND(M13="YES",L13="None")</formula>
    </cfRule>
  </conditionalFormatting>
  <conditionalFormatting sqref="N14">
    <cfRule type="expression" priority="32" aboveAverage="0" equalAverage="0" bottom="0" percent="0" rank="0" text="" dxfId="0">
      <formula>AND(M14="YES",L14="Implemented")</formula>
    </cfRule>
    <cfRule type="expression" priority="33" aboveAverage="0" equalAverage="0" bottom="0" percent="0" rank="0" text="" dxfId="1">
      <formula>AND(M14="YES",L14="Partial")</formula>
    </cfRule>
    <cfRule type="expression" priority="34" aboveAverage="0" equalAverage="0" bottom="0" percent="0" rank="0" text="" dxfId="2">
      <formula>AND(M14="YES",L14="None")</formula>
    </cfRule>
  </conditionalFormatting>
  <conditionalFormatting sqref="N15">
    <cfRule type="expression" priority="35" aboveAverage="0" equalAverage="0" bottom="0" percent="0" rank="0" text="" dxfId="0">
      <formula>AND(M15="YES",L15="Implemented")</formula>
    </cfRule>
    <cfRule type="expression" priority="36" aboveAverage="0" equalAverage="0" bottom="0" percent="0" rank="0" text="" dxfId="1">
      <formula>AND(M15="YES",L15="Partial")</formula>
    </cfRule>
    <cfRule type="expression" priority="37" aboveAverage="0" equalAverage="0" bottom="0" percent="0" rank="0" text="" dxfId="2">
      <formula>AND(M15="YES",L15="None")</formula>
    </cfRule>
  </conditionalFormatting>
  <conditionalFormatting sqref="N16">
    <cfRule type="expression" priority="38" aboveAverage="0" equalAverage="0" bottom="0" percent="0" rank="0" text="" dxfId="0">
      <formula>AND(M16="YES",L16="Implemented")</formula>
    </cfRule>
    <cfRule type="expression" priority="39" aboveAverage="0" equalAverage="0" bottom="0" percent="0" rank="0" text="" dxfId="1">
      <formula>AND(M16="YES",L16="Partial")</formula>
    </cfRule>
    <cfRule type="expression" priority="40" aboveAverage="0" equalAverage="0" bottom="0" percent="0" rank="0" text="" dxfId="2">
      <formula>AND(M16="YES",L16="None")</formula>
    </cfRule>
  </conditionalFormatting>
  <conditionalFormatting sqref="N17">
    <cfRule type="expression" priority="41" aboveAverage="0" equalAverage="0" bottom="0" percent="0" rank="0" text="" dxfId="0">
      <formula>AND(M17="YES",L17="Implemented")</formula>
    </cfRule>
    <cfRule type="expression" priority="42" aboveAverage="0" equalAverage="0" bottom="0" percent="0" rank="0" text="" dxfId="1">
      <formula>AND(M17="YES",L17="Partial")</formula>
    </cfRule>
    <cfRule type="expression" priority="43" aboveAverage="0" equalAverage="0" bottom="0" percent="0" rank="0" text="" dxfId="2">
      <formula>AND(M17="YES",L17="None")</formula>
    </cfRule>
  </conditionalFormatting>
  <conditionalFormatting sqref="N18">
    <cfRule type="expression" priority="44" aboveAverage="0" equalAverage="0" bottom="0" percent="0" rank="0" text="" dxfId="0">
      <formula>AND(M18="YES",L18="Implemented")</formula>
    </cfRule>
    <cfRule type="expression" priority="45" aboveAverage="0" equalAverage="0" bottom="0" percent="0" rank="0" text="" dxfId="1">
      <formula>AND(M18="YES",L18="Partial")</formula>
    </cfRule>
    <cfRule type="expression" priority="46" aboveAverage="0" equalAverage="0" bottom="0" percent="0" rank="0" text="" dxfId="2">
      <formula>AND(M18="YES",L18="None")</formula>
    </cfRule>
  </conditionalFormatting>
  <conditionalFormatting sqref="N19">
    <cfRule type="expression" priority="47" aboveAverage="0" equalAverage="0" bottom="0" percent="0" rank="0" text="" dxfId="0">
      <formula>AND(M19="YES",L19="Implemented")</formula>
    </cfRule>
    <cfRule type="expression" priority="48" aboveAverage="0" equalAverage="0" bottom="0" percent="0" rank="0" text="" dxfId="1">
      <formula>AND(M19="YES",L19="Partial")</formula>
    </cfRule>
    <cfRule type="expression" priority="49" aboveAverage="0" equalAverage="0" bottom="0" percent="0" rank="0" text="" dxfId="2">
      <formula>AND(M19="YES",L19="None")</formula>
    </cfRule>
  </conditionalFormatting>
  <conditionalFormatting sqref="N20">
    <cfRule type="expression" priority="50" aboveAverage="0" equalAverage="0" bottom="0" percent="0" rank="0" text="" dxfId="0">
      <formula>AND(M20="YES",L20="Implemented")</formula>
    </cfRule>
    <cfRule type="expression" priority="51" aboveAverage="0" equalAverage="0" bottom="0" percent="0" rank="0" text="" dxfId="1">
      <formula>AND(M20="YES",L20="Partial")</formula>
    </cfRule>
    <cfRule type="expression" priority="52" aboveAverage="0" equalAverage="0" bottom="0" percent="0" rank="0" text="" dxfId="2">
      <formula>AND(M20="YES",L20="None")</formula>
    </cfRule>
  </conditionalFormatting>
  <conditionalFormatting sqref="N21">
    <cfRule type="expression" priority="53" aboveAverage="0" equalAverage="0" bottom="0" percent="0" rank="0" text="" dxfId="0">
      <formula>AND(M21="YES",L21="Implemented")</formula>
    </cfRule>
    <cfRule type="expression" priority="54" aboveAverage="0" equalAverage="0" bottom="0" percent="0" rank="0" text="" dxfId="1">
      <formula>AND(M21="YES",L21="Partial")</formula>
    </cfRule>
    <cfRule type="expression" priority="55" aboveAverage="0" equalAverage="0" bottom="0" percent="0" rank="0" text="" dxfId="2">
      <formula>AND(M21="YES",L21="None")</formula>
    </cfRule>
  </conditionalFormatting>
  <conditionalFormatting sqref="N22">
    <cfRule type="expression" priority="56" aboveAverage="0" equalAverage="0" bottom="0" percent="0" rank="0" text="" dxfId="0">
      <formula>AND(M22="YES",L22="Implemented")</formula>
    </cfRule>
    <cfRule type="expression" priority="57" aboveAverage="0" equalAverage="0" bottom="0" percent="0" rank="0" text="" dxfId="1">
      <formula>AND(M22="YES",L22="Partial")</formula>
    </cfRule>
    <cfRule type="expression" priority="58" aboveAverage="0" equalAverage="0" bottom="0" percent="0" rank="0" text="" dxfId="2">
      <formula>AND(M22="YES",L22="None")</formula>
    </cfRule>
  </conditionalFormatting>
  <conditionalFormatting sqref="N23">
    <cfRule type="expression" priority="59" aboveAverage="0" equalAverage="0" bottom="0" percent="0" rank="0" text="" dxfId="0">
      <formula>AND(M23="YES",L23="Implemented")</formula>
    </cfRule>
    <cfRule type="expression" priority="60" aboveAverage="0" equalAverage="0" bottom="0" percent="0" rank="0" text="" dxfId="1">
      <formula>AND(M23="YES",L23="Partial")</formula>
    </cfRule>
    <cfRule type="expression" priority="61" aboveAverage="0" equalAverage="0" bottom="0" percent="0" rank="0" text="" dxfId="2">
      <formula>AND(M23="YES",L23="None")</formula>
    </cfRule>
  </conditionalFormatting>
  <conditionalFormatting sqref="N24">
    <cfRule type="expression" priority="62" aboveAverage="0" equalAverage="0" bottom="0" percent="0" rank="0" text="" dxfId="0">
      <formula>AND(M24="YES",L24="Implemented")</formula>
    </cfRule>
    <cfRule type="expression" priority="63" aboveAverage="0" equalAverage="0" bottom="0" percent="0" rank="0" text="" dxfId="1">
      <formula>AND(M24="YES",L24="Partial")</formula>
    </cfRule>
    <cfRule type="expression" priority="64" aboveAverage="0" equalAverage="0" bottom="0" percent="0" rank="0" text="" dxfId="2">
      <formula>AND(M24="YES",L24="None")</formula>
    </cfRule>
  </conditionalFormatting>
  <conditionalFormatting sqref="N25">
    <cfRule type="expression" priority="65" aboveAverage="0" equalAverage="0" bottom="0" percent="0" rank="0" text="" dxfId="0">
      <formula>AND(M25="YES",L25="Implemented")</formula>
    </cfRule>
    <cfRule type="expression" priority="66" aboveAverage="0" equalAverage="0" bottom="0" percent="0" rank="0" text="" dxfId="1">
      <formula>AND(M25="YES",L25="Partial")</formula>
    </cfRule>
    <cfRule type="expression" priority="67" aboveAverage="0" equalAverage="0" bottom="0" percent="0" rank="0" text="" dxfId="2">
      <formula>AND(M25="YES",L25="None")</formula>
    </cfRule>
  </conditionalFormatting>
  <conditionalFormatting sqref="N26">
    <cfRule type="expression" priority="68" aboveAverage="0" equalAverage="0" bottom="0" percent="0" rank="0" text="" dxfId="0">
      <formula>AND(M26="YES",L26="Implemented")</formula>
    </cfRule>
    <cfRule type="expression" priority="69" aboveAverage="0" equalAverage="0" bottom="0" percent="0" rank="0" text="" dxfId="1">
      <formula>AND(M26="YES",L26="Partial")</formula>
    </cfRule>
    <cfRule type="expression" priority="70" aboveAverage="0" equalAverage="0" bottom="0" percent="0" rank="0" text="" dxfId="2">
      <formula>AND(M26="YES",L26="None")</formula>
    </cfRule>
  </conditionalFormatting>
  <conditionalFormatting sqref="N27">
    <cfRule type="expression" priority="71" aboveAverage="0" equalAverage="0" bottom="0" percent="0" rank="0" text="" dxfId="0">
      <formula>AND(M27="YES",L27="Implemented")</formula>
    </cfRule>
    <cfRule type="expression" priority="72" aboveAverage="0" equalAverage="0" bottom="0" percent="0" rank="0" text="" dxfId="1">
      <formula>AND(M27="YES",L27="Partial")</formula>
    </cfRule>
    <cfRule type="expression" priority="73" aboveAverage="0" equalAverage="0" bottom="0" percent="0" rank="0" text="" dxfId="2">
      <formula>AND(M27="YES",L27="None")</formula>
    </cfRule>
  </conditionalFormatting>
  <conditionalFormatting sqref="N28">
    <cfRule type="expression" priority="74" aboveAverage="0" equalAverage="0" bottom="0" percent="0" rank="0" text="" dxfId="0">
      <formula>AND(M28="YES",L28="Implemented")</formula>
    </cfRule>
    <cfRule type="expression" priority="75" aboveAverage="0" equalAverage="0" bottom="0" percent="0" rank="0" text="" dxfId="1">
      <formula>AND(M28="YES",L28="Partial")</formula>
    </cfRule>
    <cfRule type="expression" priority="76" aboveAverage="0" equalAverage="0" bottom="0" percent="0" rank="0" text="" dxfId="2">
      <formula>AND(M28="YES",L28="None")</formula>
    </cfRule>
  </conditionalFormatting>
  <conditionalFormatting sqref="N29">
    <cfRule type="expression" priority="77" aboveAverage="0" equalAverage="0" bottom="0" percent="0" rank="0" text="" dxfId="0">
      <formula>AND(M29="YES",L29="Implemented")</formula>
    </cfRule>
    <cfRule type="expression" priority="78" aboveAverage="0" equalAverage="0" bottom="0" percent="0" rank="0" text="" dxfId="1">
      <formula>AND(M29="YES",L29="Partial")</formula>
    </cfRule>
    <cfRule type="expression" priority="79" aboveAverage="0" equalAverage="0" bottom="0" percent="0" rank="0" text="" dxfId="2">
      <formula>AND(M29="YES",L29="None")</formula>
    </cfRule>
  </conditionalFormatting>
  <conditionalFormatting sqref="N30">
    <cfRule type="expression" priority="80" aboveAverage="0" equalAverage="0" bottom="0" percent="0" rank="0" text="" dxfId="0">
      <formula>AND(M30="YES",L30="Implemented")</formula>
    </cfRule>
    <cfRule type="expression" priority="81" aboveAverage="0" equalAverage="0" bottom="0" percent="0" rank="0" text="" dxfId="1">
      <formula>AND(M30="YES",L30="Partial")</formula>
    </cfRule>
    <cfRule type="expression" priority="82" aboveAverage="0" equalAverage="0" bottom="0" percent="0" rank="0" text="" dxfId="2">
      <formula>AND(M30="YES",L30="None")</formula>
    </cfRule>
  </conditionalFormatting>
  <dataValidations count="2">
    <dataValidation allowBlank="false" errorStyle="stop" operator="between" showDropDown="false" showErrorMessage="false" showInputMessage="false" sqref="L4:L30" type="list">
      <formula1>"None,Partial,Implemented"</formula1>
      <formula2>0</formula2>
    </dataValidation>
    <dataValidation allowBlank="false" errorStyle="stop" operator="between" showDropDown="false" showErrorMessage="false" showInputMessage="false" sqref="M4:M3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24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0" min="10" style="0" width="58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5" min="15" style="0" width="38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95" t="s">
        <v>474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</row>
    <row r="3" customFormat="false" ht="42" hidden="false" customHeight="true" outlineLevel="0" collapsed="false">
      <c r="A3" s="67" t="s">
        <v>50</v>
      </c>
      <c r="B3" s="67" t="s">
        <v>100</v>
      </c>
      <c r="C3" s="67" t="s">
        <v>53</v>
      </c>
      <c r="D3" s="67" t="s">
        <v>55</v>
      </c>
      <c r="E3" s="67" t="s">
        <v>57</v>
      </c>
      <c r="F3" s="67" t="s">
        <v>101</v>
      </c>
      <c r="G3" s="67" t="s">
        <v>102</v>
      </c>
      <c r="H3" s="67" t="s">
        <v>103</v>
      </c>
      <c r="I3" s="67" t="s">
        <v>65</v>
      </c>
      <c r="J3" s="67" t="s">
        <v>67</v>
      </c>
      <c r="K3" s="67" t="s">
        <v>69</v>
      </c>
      <c r="L3" s="67" t="s">
        <v>71</v>
      </c>
      <c r="M3" s="67" t="s">
        <v>104</v>
      </c>
      <c r="N3" s="67" t="s">
        <v>105</v>
      </c>
      <c r="O3" s="67" t="s">
        <v>77</v>
      </c>
    </row>
    <row r="4" customFormat="false" ht="51.75" hidden="false" customHeight="true" outlineLevel="0" collapsed="false">
      <c r="A4" s="96" t="s">
        <v>475</v>
      </c>
      <c r="B4" s="69" t="s">
        <v>6</v>
      </c>
      <c r="C4" s="97" t="s">
        <v>476</v>
      </c>
      <c r="D4" s="97" t="s">
        <v>477</v>
      </c>
      <c r="E4" s="97" t="s">
        <v>478</v>
      </c>
      <c r="F4" s="98" t="n">
        <v>3</v>
      </c>
      <c r="G4" s="98" t="n">
        <v>4</v>
      </c>
      <c r="H4" s="79" t="n">
        <v>12</v>
      </c>
      <c r="I4" s="80" t="s">
        <v>83</v>
      </c>
      <c r="J4" s="97" t="s">
        <v>479</v>
      </c>
      <c r="K4" s="97" t="s">
        <v>480</v>
      </c>
      <c r="L4" s="74" t="s">
        <v>112</v>
      </c>
      <c r="M4" s="74" t="s">
        <v>113</v>
      </c>
      <c r="N4" s="75" t="str">
        <f aca="false">IF(M4="YES",IF(L4="Implemented","✅ Triggered+Mitigated",IF(L4="Partial","⚠️ Partial Controls","❌ Unmitigated")),"— Not Triggered")</f>
        <v>— Not Triggered</v>
      </c>
      <c r="O4" s="97" t="s">
        <v>481</v>
      </c>
    </row>
    <row r="5" customFormat="false" ht="51.75" hidden="false" customHeight="true" outlineLevel="0" collapsed="false">
      <c r="A5" s="99" t="s">
        <v>482</v>
      </c>
      <c r="B5" s="69" t="s">
        <v>6</v>
      </c>
      <c r="C5" s="100" t="s">
        <v>483</v>
      </c>
      <c r="D5" s="100" t="s">
        <v>484</v>
      </c>
      <c r="E5" s="100" t="s">
        <v>485</v>
      </c>
      <c r="F5" s="101" t="n">
        <v>4</v>
      </c>
      <c r="G5" s="101" t="n">
        <v>5</v>
      </c>
      <c r="H5" s="72" t="n">
        <v>20</v>
      </c>
      <c r="I5" s="73" t="s">
        <v>82</v>
      </c>
      <c r="J5" s="100" t="s">
        <v>486</v>
      </c>
      <c r="K5" s="100" t="s">
        <v>487</v>
      </c>
      <c r="L5" s="74" t="s">
        <v>112</v>
      </c>
      <c r="M5" s="74" t="s">
        <v>113</v>
      </c>
      <c r="N5" s="75" t="str">
        <f aca="false">IF(M5="YES",IF(L5="Implemented","✅ Triggered+Mitigated",IF(L5="Partial","⚠️ Partial Controls","❌ Unmitigated")),"— Not Triggered")</f>
        <v>— Not Triggered</v>
      </c>
      <c r="O5" s="100" t="s">
        <v>488</v>
      </c>
    </row>
    <row r="6" customFormat="false" ht="51.75" hidden="false" customHeight="true" outlineLevel="0" collapsed="false">
      <c r="A6" s="96" t="s">
        <v>489</v>
      </c>
      <c r="B6" s="81" t="s">
        <v>10</v>
      </c>
      <c r="C6" s="97" t="s">
        <v>490</v>
      </c>
      <c r="D6" s="97" t="s">
        <v>491</v>
      </c>
      <c r="E6" s="97" t="s">
        <v>492</v>
      </c>
      <c r="F6" s="98" t="n">
        <v>4</v>
      </c>
      <c r="G6" s="98" t="n">
        <v>5</v>
      </c>
      <c r="H6" s="72" t="n">
        <v>20</v>
      </c>
      <c r="I6" s="73" t="s">
        <v>82</v>
      </c>
      <c r="J6" s="97" t="s">
        <v>493</v>
      </c>
      <c r="K6" s="97" t="s">
        <v>494</v>
      </c>
      <c r="L6" s="74" t="s">
        <v>112</v>
      </c>
      <c r="M6" s="74" t="s">
        <v>113</v>
      </c>
      <c r="N6" s="75" t="str">
        <f aca="false">IF(M6="YES",IF(L6="Implemented","✅ Triggered+Mitigated",IF(L6="Partial","⚠️ Partial Controls","❌ Unmitigated")),"— Not Triggered")</f>
        <v>— Not Triggered</v>
      </c>
      <c r="O6" s="97" t="s">
        <v>495</v>
      </c>
    </row>
    <row r="7" customFormat="false" ht="51.75" hidden="false" customHeight="true" outlineLevel="0" collapsed="false">
      <c r="A7" s="99" t="s">
        <v>496</v>
      </c>
      <c r="B7" s="81" t="s">
        <v>10</v>
      </c>
      <c r="C7" s="100" t="s">
        <v>497</v>
      </c>
      <c r="D7" s="100" t="s">
        <v>498</v>
      </c>
      <c r="E7" s="100" t="s">
        <v>499</v>
      </c>
      <c r="F7" s="101" t="n">
        <v>3</v>
      </c>
      <c r="G7" s="101" t="n">
        <v>5</v>
      </c>
      <c r="H7" s="79" t="n">
        <v>15</v>
      </c>
      <c r="I7" s="80" t="s">
        <v>83</v>
      </c>
      <c r="J7" s="100" t="s">
        <v>500</v>
      </c>
      <c r="K7" s="100" t="s">
        <v>501</v>
      </c>
      <c r="L7" s="74" t="s">
        <v>112</v>
      </c>
      <c r="M7" s="74" t="s">
        <v>113</v>
      </c>
      <c r="N7" s="75" t="str">
        <f aca="false">IF(M7="YES",IF(L7="Implemented","✅ Triggered+Mitigated",IF(L7="Partial","⚠️ Partial Controls","❌ Unmitigated")),"— Not Triggered")</f>
        <v>— Not Triggered</v>
      </c>
      <c r="O7" s="100" t="s">
        <v>502</v>
      </c>
    </row>
    <row r="8" customFormat="false" ht="51.75" hidden="false" customHeight="true" outlineLevel="0" collapsed="false">
      <c r="A8" s="96" t="s">
        <v>503</v>
      </c>
      <c r="B8" s="82" t="s">
        <v>14</v>
      </c>
      <c r="C8" s="97" t="s">
        <v>504</v>
      </c>
      <c r="D8" s="97" t="s">
        <v>505</v>
      </c>
      <c r="E8" s="97" t="s">
        <v>506</v>
      </c>
      <c r="F8" s="98" t="n">
        <v>3</v>
      </c>
      <c r="G8" s="98" t="n">
        <v>4</v>
      </c>
      <c r="H8" s="79" t="n">
        <v>12</v>
      </c>
      <c r="I8" s="80" t="s">
        <v>83</v>
      </c>
      <c r="J8" s="97" t="s">
        <v>507</v>
      </c>
      <c r="K8" s="97" t="s">
        <v>508</v>
      </c>
      <c r="L8" s="74" t="s">
        <v>112</v>
      </c>
      <c r="M8" s="74" t="s">
        <v>113</v>
      </c>
      <c r="N8" s="75" t="str">
        <f aca="false">IF(M8="YES",IF(L8="Implemented","✅ Triggered+Mitigated",IF(L8="Partial","⚠️ Partial Controls","❌ Unmitigated")),"— Not Triggered")</f>
        <v>— Not Triggered</v>
      </c>
      <c r="O8" s="97" t="s">
        <v>509</v>
      </c>
    </row>
    <row r="9" customFormat="false" ht="51.75" hidden="false" customHeight="true" outlineLevel="0" collapsed="false">
      <c r="A9" s="99" t="s">
        <v>510</v>
      </c>
      <c r="B9" s="83" t="s">
        <v>18</v>
      </c>
      <c r="C9" s="100" t="s">
        <v>511</v>
      </c>
      <c r="D9" s="100" t="s">
        <v>512</v>
      </c>
      <c r="E9" s="100" t="s">
        <v>513</v>
      </c>
      <c r="F9" s="101" t="n">
        <v>4</v>
      </c>
      <c r="G9" s="101" t="n">
        <v>3</v>
      </c>
      <c r="H9" s="79" t="n">
        <v>12</v>
      </c>
      <c r="I9" s="80" t="s">
        <v>83</v>
      </c>
      <c r="J9" s="100" t="s">
        <v>514</v>
      </c>
      <c r="K9" s="100" t="s">
        <v>515</v>
      </c>
      <c r="L9" s="74" t="s">
        <v>112</v>
      </c>
      <c r="M9" s="74" t="s">
        <v>113</v>
      </c>
      <c r="N9" s="75" t="str">
        <f aca="false">IF(M9="YES",IF(L9="Implemented","✅ Triggered+Mitigated",IF(L9="Partial","⚠️ Partial Controls","❌ Unmitigated")),"— Not Triggered")</f>
        <v>— Not Triggered</v>
      </c>
      <c r="O9" s="100" t="s">
        <v>516</v>
      </c>
    </row>
    <row r="10" customFormat="false" ht="51.75" hidden="false" customHeight="true" outlineLevel="0" collapsed="false">
      <c r="A10" s="96" t="s">
        <v>517</v>
      </c>
      <c r="B10" s="83" t="s">
        <v>18</v>
      </c>
      <c r="C10" s="97" t="s">
        <v>518</v>
      </c>
      <c r="D10" s="97" t="s">
        <v>519</v>
      </c>
      <c r="E10" s="97" t="s">
        <v>520</v>
      </c>
      <c r="F10" s="98" t="n">
        <v>3</v>
      </c>
      <c r="G10" s="98" t="n">
        <v>3</v>
      </c>
      <c r="H10" s="93" t="n">
        <v>9</v>
      </c>
      <c r="I10" s="94" t="s">
        <v>84</v>
      </c>
      <c r="J10" s="97" t="s">
        <v>521</v>
      </c>
      <c r="K10" s="97" t="s">
        <v>127</v>
      </c>
      <c r="L10" s="74" t="s">
        <v>112</v>
      </c>
      <c r="M10" s="74" t="s">
        <v>113</v>
      </c>
      <c r="N10" s="75" t="str">
        <f aca="false">IF(M10="YES",IF(L10="Implemented","✅ Triggered+Mitigated",IF(L10="Partial","⚠️ Partial Controls","❌ Unmitigated")),"— Not Triggered")</f>
        <v>— Not Triggered</v>
      </c>
      <c r="O10" s="97" t="s">
        <v>522</v>
      </c>
    </row>
    <row r="11" customFormat="false" ht="51.75" hidden="false" customHeight="true" outlineLevel="0" collapsed="false">
      <c r="A11" s="99" t="s">
        <v>523</v>
      </c>
      <c r="B11" s="84" t="s">
        <v>22</v>
      </c>
      <c r="C11" s="100" t="s">
        <v>524</v>
      </c>
      <c r="D11" s="100" t="s">
        <v>525</v>
      </c>
      <c r="E11" s="100" t="s">
        <v>526</v>
      </c>
      <c r="F11" s="101" t="n">
        <v>3</v>
      </c>
      <c r="G11" s="101" t="n">
        <v>5</v>
      </c>
      <c r="H11" s="79" t="n">
        <v>15</v>
      </c>
      <c r="I11" s="80" t="s">
        <v>83</v>
      </c>
      <c r="J11" s="100" t="s">
        <v>527</v>
      </c>
      <c r="K11" s="100" t="s">
        <v>528</v>
      </c>
      <c r="L11" s="74" t="s">
        <v>112</v>
      </c>
      <c r="M11" s="74" t="s">
        <v>113</v>
      </c>
      <c r="N11" s="75" t="str">
        <f aca="false">IF(M11="YES",IF(L11="Implemented","✅ Triggered+Mitigated",IF(L11="Partial","⚠️ Partial Controls","❌ Unmitigated")),"— Not Triggered")</f>
        <v>— Not Triggered</v>
      </c>
      <c r="O11" s="100" t="s">
        <v>529</v>
      </c>
    </row>
    <row r="12" customFormat="false" ht="51.75" hidden="false" customHeight="true" outlineLevel="0" collapsed="false">
      <c r="A12" s="96" t="s">
        <v>530</v>
      </c>
      <c r="B12" s="84" t="s">
        <v>22</v>
      </c>
      <c r="C12" s="97" t="s">
        <v>531</v>
      </c>
      <c r="D12" s="97" t="s">
        <v>532</v>
      </c>
      <c r="E12" s="97" t="s">
        <v>533</v>
      </c>
      <c r="F12" s="98" t="n">
        <v>2</v>
      </c>
      <c r="G12" s="98" t="n">
        <v>5</v>
      </c>
      <c r="H12" s="79" t="n">
        <v>10</v>
      </c>
      <c r="I12" s="80" t="s">
        <v>83</v>
      </c>
      <c r="J12" s="97" t="s">
        <v>534</v>
      </c>
      <c r="K12" s="97" t="s">
        <v>251</v>
      </c>
      <c r="L12" s="74" t="s">
        <v>112</v>
      </c>
      <c r="M12" s="74" t="s">
        <v>113</v>
      </c>
      <c r="N12" s="75" t="str">
        <f aca="false">IF(M12="YES",IF(L12="Implemented","✅ Triggered+Mitigated",IF(L12="Partial","⚠️ Partial Controls","❌ Unmitigated")),"— Not Triggered")</f>
        <v>— Not Triggered</v>
      </c>
      <c r="O12" s="97" t="s">
        <v>535</v>
      </c>
    </row>
    <row r="13" customFormat="false" ht="51.75" hidden="false" customHeight="true" outlineLevel="0" collapsed="false">
      <c r="A13" s="99" t="s">
        <v>536</v>
      </c>
      <c r="B13" s="85" t="s">
        <v>26</v>
      </c>
      <c r="C13" s="100" t="s">
        <v>537</v>
      </c>
      <c r="D13" s="100" t="s">
        <v>538</v>
      </c>
      <c r="E13" s="100" t="s">
        <v>539</v>
      </c>
      <c r="F13" s="101" t="n">
        <v>4</v>
      </c>
      <c r="G13" s="101" t="n">
        <v>5</v>
      </c>
      <c r="H13" s="72" t="n">
        <v>20</v>
      </c>
      <c r="I13" s="73" t="s">
        <v>82</v>
      </c>
      <c r="J13" s="100" t="s">
        <v>540</v>
      </c>
      <c r="K13" s="100" t="s">
        <v>277</v>
      </c>
      <c r="L13" s="74" t="s">
        <v>112</v>
      </c>
      <c r="M13" s="74" t="s">
        <v>113</v>
      </c>
      <c r="N13" s="75" t="str">
        <f aca="false">IF(M13="YES",IF(L13="Implemented","✅ Triggered+Mitigated",IF(L13="Partial","⚠️ Partial Controls","❌ Unmitigated")),"— Not Triggered")</f>
        <v>— Not Triggered</v>
      </c>
      <c r="O13" s="100" t="s">
        <v>541</v>
      </c>
    </row>
    <row r="14" customFormat="false" ht="51.75" hidden="false" customHeight="true" outlineLevel="0" collapsed="false">
      <c r="A14" s="96" t="s">
        <v>542</v>
      </c>
      <c r="B14" s="85" t="s">
        <v>26</v>
      </c>
      <c r="C14" s="97" t="s">
        <v>543</v>
      </c>
      <c r="D14" s="97" t="s">
        <v>544</v>
      </c>
      <c r="E14" s="97" t="s">
        <v>545</v>
      </c>
      <c r="F14" s="98" t="n">
        <v>4</v>
      </c>
      <c r="G14" s="98" t="n">
        <v>4</v>
      </c>
      <c r="H14" s="79" t="n">
        <v>16</v>
      </c>
      <c r="I14" s="80" t="s">
        <v>83</v>
      </c>
      <c r="J14" s="97" t="s">
        <v>546</v>
      </c>
      <c r="K14" s="97" t="s">
        <v>547</v>
      </c>
      <c r="L14" s="74" t="s">
        <v>112</v>
      </c>
      <c r="M14" s="74" t="s">
        <v>113</v>
      </c>
      <c r="N14" s="75" t="str">
        <f aca="false">IF(M14="YES",IF(L14="Implemented","✅ Triggered+Mitigated",IF(L14="Partial","⚠️ Partial Controls","❌ Unmitigated")),"— Not Triggered")</f>
        <v>— Not Triggered</v>
      </c>
      <c r="O14" s="97" t="s">
        <v>548</v>
      </c>
    </row>
  </sheetData>
  <mergeCells count="1">
    <mergeCell ref="A2:O2"/>
  </mergeCells>
  <conditionalFormatting sqref="N4">
    <cfRule type="expression" priority="2" aboveAverage="0" equalAverage="0" bottom="0" percent="0" rank="0" text="" dxfId="0">
      <formula>AND(M4="YES",L4="Implemented")</formula>
    </cfRule>
    <cfRule type="expression" priority="3" aboveAverage="0" equalAverage="0" bottom="0" percent="0" rank="0" text="" dxfId="1">
      <formula>AND(M4="YES",L4="Partial")</formula>
    </cfRule>
    <cfRule type="expression" priority="4" aboveAverage="0" equalAverage="0" bottom="0" percent="0" rank="0" text="" dxfId="2">
      <formula>AND(M4="YES",L4="None")</formula>
    </cfRule>
  </conditionalFormatting>
  <conditionalFormatting sqref="N5">
    <cfRule type="expression" priority="5" aboveAverage="0" equalAverage="0" bottom="0" percent="0" rank="0" text="" dxfId="0">
      <formula>AND(M5="YES",L5="Implemented")</formula>
    </cfRule>
    <cfRule type="expression" priority="6" aboveAverage="0" equalAverage="0" bottom="0" percent="0" rank="0" text="" dxfId="1">
      <formula>AND(M5="YES",L5="Partial")</formula>
    </cfRule>
    <cfRule type="expression" priority="7" aboveAverage="0" equalAverage="0" bottom="0" percent="0" rank="0" text="" dxfId="2">
      <formula>AND(M5="YES",L5="None")</formula>
    </cfRule>
  </conditionalFormatting>
  <conditionalFormatting sqref="N6">
    <cfRule type="expression" priority="8" aboveAverage="0" equalAverage="0" bottom="0" percent="0" rank="0" text="" dxfId="0">
      <formula>AND(M6="YES",L6="Implemented")</formula>
    </cfRule>
    <cfRule type="expression" priority="9" aboveAverage="0" equalAverage="0" bottom="0" percent="0" rank="0" text="" dxfId="1">
      <formula>AND(M6="YES",L6="Partial")</formula>
    </cfRule>
    <cfRule type="expression" priority="10" aboveAverage="0" equalAverage="0" bottom="0" percent="0" rank="0" text="" dxfId="2">
      <formula>AND(M6="YES",L6="None")</formula>
    </cfRule>
  </conditionalFormatting>
  <conditionalFormatting sqref="N7">
    <cfRule type="expression" priority="11" aboveAverage="0" equalAverage="0" bottom="0" percent="0" rank="0" text="" dxfId="0">
      <formula>AND(M7="YES",L7="Implemented")</formula>
    </cfRule>
    <cfRule type="expression" priority="12" aboveAverage="0" equalAverage="0" bottom="0" percent="0" rank="0" text="" dxfId="1">
      <formula>AND(M7="YES",L7="Partial")</formula>
    </cfRule>
    <cfRule type="expression" priority="13" aboveAverage="0" equalAverage="0" bottom="0" percent="0" rank="0" text="" dxfId="2">
      <formula>AND(M7="YES",L7="None")</formula>
    </cfRule>
  </conditionalFormatting>
  <conditionalFormatting sqref="N8">
    <cfRule type="expression" priority="14" aboveAverage="0" equalAverage="0" bottom="0" percent="0" rank="0" text="" dxfId="0">
      <formula>AND(M8="YES",L8="Implemented")</formula>
    </cfRule>
    <cfRule type="expression" priority="15" aboveAverage="0" equalAverage="0" bottom="0" percent="0" rank="0" text="" dxfId="1">
      <formula>AND(M8="YES",L8="Partial")</formula>
    </cfRule>
    <cfRule type="expression" priority="16" aboveAverage="0" equalAverage="0" bottom="0" percent="0" rank="0" text="" dxfId="2">
      <formula>AND(M8="YES",L8="None")</formula>
    </cfRule>
  </conditionalFormatting>
  <conditionalFormatting sqref="N9">
    <cfRule type="expression" priority="17" aboveAverage="0" equalAverage="0" bottom="0" percent="0" rank="0" text="" dxfId="0">
      <formula>AND(M9="YES",L9="Implemented")</formula>
    </cfRule>
    <cfRule type="expression" priority="18" aboveAverage="0" equalAverage="0" bottom="0" percent="0" rank="0" text="" dxfId="1">
      <formula>AND(M9="YES",L9="Partial")</formula>
    </cfRule>
    <cfRule type="expression" priority="19" aboveAverage="0" equalAverage="0" bottom="0" percent="0" rank="0" text="" dxfId="2">
      <formula>AND(M9="YES",L9="None")</formula>
    </cfRule>
  </conditionalFormatting>
  <conditionalFormatting sqref="N10">
    <cfRule type="expression" priority="20" aboveAverage="0" equalAverage="0" bottom="0" percent="0" rank="0" text="" dxfId="0">
      <formula>AND(M10="YES",L10="Implemented")</formula>
    </cfRule>
    <cfRule type="expression" priority="21" aboveAverage="0" equalAverage="0" bottom="0" percent="0" rank="0" text="" dxfId="1">
      <formula>AND(M10="YES",L10="Partial")</formula>
    </cfRule>
    <cfRule type="expression" priority="22" aboveAverage="0" equalAverage="0" bottom="0" percent="0" rank="0" text="" dxfId="2">
      <formula>AND(M10="YES",L10="None")</formula>
    </cfRule>
  </conditionalFormatting>
  <conditionalFormatting sqref="N11">
    <cfRule type="expression" priority="23" aboveAverage="0" equalAverage="0" bottom="0" percent="0" rank="0" text="" dxfId="0">
      <formula>AND(M11="YES",L11="Implemented")</formula>
    </cfRule>
    <cfRule type="expression" priority="24" aboveAverage="0" equalAverage="0" bottom="0" percent="0" rank="0" text="" dxfId="1">
      <formula>AND(M11="YES",L11="Partial")</formula>
    </cfRule>
    <cfRule type="expression" priority="25" aboveAverage="0" equalAverage="0" bottom="0" percent="0" rank="0" text="" dxfId="2">
      <formula>AND(M11="YES",L11="None")</formula>
    </cfRule>
  </conditionalFormatting>
  <conditionalFormatting sqref="N12">
    <cfRule type="expression" priority="26" aboveAverage="0" equalAverage="0" bottom="0" percent="0" rank="0" text="" dxfId="0">
      <formula>AND(M12="YES",L12="Implemented")</formula>
    </cfRule>
    <cfRule type="expression" priority="27" aboveAverage="0" equalAverage="0" bottom="0" percent="0" rank="0" text="" dxfId="1">
      <formula>AND(M12="YES",L12="Partial")</formula>
    </cfRule>
    <cfRule type="expression" priority="28" aboveAverage="0" equalAverage="0" bottom="0" percent="0" rank="0" text="" dxfId="2">
      <formula>AND(M12="YES",L12="None")</formula>
    </cfRule>
  </conditionalFormatting>
  <conditionalFormatting sqref="N13">
    <cfRule type="expression" priority="29" aboveAverage="0" equalAverage="0" bottom="0" percent="0" rank="0" text="" dxfId="0">
      <formula>AND(M13="YES",L13="Implemented")</formula>
    </cfRule>
    <cfRule type="expression" priority="30" aboveAverage="0" equalAverage="0" bottom="0" percent="0" rank="0" text="" dxfId="1">
      <formula>AND(M13="YES",L13="Partial")</formula>
    </cfRule>
    <cfRule type="expression" priority="31" aboveAverage="0" equalAverage="0" bottom="0" percent="0" rank="0" text="" dxfId="2">
      <formula>AND(M13="YES",L13="None")</formula>
    </cfRule>
  </conditionalFormatting>
  <conditionalFormatting sqref="N14">
    <cfRule type="expression" priority="32" aboveAverage="0" equalAverage="0" bottom="0" percent="0" rank="0" text="" dxfId="0">
      <formula>AND(M14="YES",L14="Implemented")</formula>
    </cfRule>
    <cfRule type="expression" priority="33" aboveAverage="0" equalAverage="0" bottom="0" percent="0" rank="0" text="" dxfId="1">
      <formula>AND(M14="YES",L14="Partial")</formula>
    </cfRule>
    <cfRule type="expression" priority="34" aboveAverage="0" equalAverage="0" bottom="0" percent="0" rank="0" text="" dxfId="2">
      <formula>AND(M14="YES",L14="None")</formula>
    </cfRule>
  </conditionalFormatting>
  <dataValidations count="2">
    <dataValidation allowBlank="false" errorStyle="stop" operator="between" showDropDown="false" showErrorMessage="false" showInputMessage="false" sqref="L4:L14" type="list">
      <formula1>"None,Partial,Implemented"</formula1>
      <formula2>0</formula2>
    </dataValidation>
    <dataValidation allowBlank="false" errorStyle="stop" operator="between" showDropDown="false" showErrorMessage="false" showInputMessage="false" sqref="M4:M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2026-04-27T03:00:03Z</dcterms:created>
  <dc:creator>openpyxl</dc:creator>
  <dc:description/>
  <dc:language>en-US</dc:language>
  <cp:lastModifiedBy/>
  <dcterms:modified xsi:type="dcterms:W3CDTF">2026-04-27T03:00:03Z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